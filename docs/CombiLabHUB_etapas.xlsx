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Etapas" sheetId="2" state="visible" r:id="rId2"/>
    <sheet xmlns:r="http://schemas.openxmlformats.org/officeDocument/2006/relationships" name="Estado SF" sheetId="3" state="visible" r:id="rId3"/>
  </sheets>
  <definedNames>
    <definedName name="_xlnm._FilterDatabase" localSheetId="1" hidden="1">'Etapas'!$A$4:$J$33</definedName>
    <definedName name="_xlnm._FilterDatabase" localSheetId="2" hidden="1">'Estado SF'!$A$4:$K$31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0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i val="1"/>
      <color rgb="FF595959"/>
      <sz val="11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9" fontId="7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164" fontId="6" fillId="3" borderId="1" applyAlignment="1" pivotButton="0" quotePrefix="0" xfId="0">
      <alignment horizontal="general" vertical="top" wrapText="1"/>
    </xf>
    <xf numFmtId="165" fontId="6" fillId="3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9" fontId="7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164" fontId="6" fillId="3" borderId="1" applyAlignment="1" pivotButton="0" quotePrefix="0" xfId="0">
      <alignment horizontal="general" vertical="top" wrapText="1"/>
    </xf>
    <xf numFmtId="165" fontId="6" fillId="3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2F2F2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6" min="1" max="1"/>
    <col width="10" customWidth="1" style="16" min="2" max="2"/>
    <col width="13" customWidth="1" style="16" min="3" max="4"/>
    <col width="12" customWidth="1" style="16" min="5" max="5"/>
    <col width="11" customWidth="1" style="16" min="6" max="6"/>
  </cols>
  <sheetData>
    <row r="1" ht="17.25" customHeight="1" s="17">
      <c r="A1" s="18" t="inlineStr">
        <is>
          <t>CombiLabHUB – Resumen de avance</t>
        </is>
      </c>
    </row>
    <row r="3" ht="26.25" customHeight="1" s="17">
      <c r="A3" s="19" t="inlineStr">
        <is>
          <t>Etapa</t>
        </is>
      </c>
      <c r="B3" s="19" t="inlineStr">
        <is>
          <t>Tareas</t>
        </is>
      </c>
      <c r="C3" s="19" t="inlineStr">
        <is>
          <t>Completadas</t>
        </is>
      </c>
      <c r="D3" s="19" t="inlineStr">
        <is>
          <t>En progreso</t>
        </is>
      </c>
      <c r="E3" s="19" t="inlineStr">
        <is>
          <t>Pendientes</t>
        </is>
      </c>
      <c r="F3" s="19" t="inlineStr">
        <is>
          <t>% avance</t>
        </is>
      </c>
    </row>
    <row r="4" ht="15" customHeight="1" s="17">
      <c r="A4" s="20" t="inlineStr">
        <is>
          <t>0. Preparación del entorno</t>
        </is>
      </c>
      <c r="B4" s="20">
        <f>COUNTIF(Etapas!$B$5:$B$33,A4)</f>
        <v/>
      </c>
      <c r="C4" s="20">
        <f>COUNTIFS(Etapas!$B$5:$B$33,A4,Etapas!$F$5:$F$33,"Completada")</f>
        <v/>
      </c>
      <c r="D4" s="20">
        <f>COUNTIFS(Etapas!$B$5:$B$33,A4,Etapas!$F$5:$F$33,"En progreso")</f>
        <v/>
      </c>
      <c r="E4" s="20">
        <f>COUNTIFS(Etapas!$B$5:$B$33,A4,Etapas!$F$5:$F$33,"Pendiente")</f>
        <v/>
      </c>
      <c r="F4" s="21">
        <f>IF(B4=0,0,C4/B4)</f>
        <v/>
      </c>
    </row>
    <row r="5" ht="15" customHeight="1" s="17">
      <c r="A5" s="20" t="inlineStr">
        <is>
          <t>1. Relevamiento de SF</t>
        </is>
      </c>
      <c r="B5" s="20">
        <f>COUNTIF(Etapas!$B$5:$B$33,A5)</f>
        <v/>
      </c>
      <c r="C5" s="20">
        <f>COUNTIFS(Etapas!$B$5:$B$33,A5,Etapas!$F$5:$F$33,"Completada")</f>
        <v/>
      </c>
      <c r="D5" s="20">
        <f>COUNTIFS(Etapas!$B$5:$B$33,A5,Etapas!$F$5:$F$33,"En progreso")</f>
        <v/>
      </c>
      <c r="E5" s="20">
        <f>COUNTIFS(Etapas!$B$5:$B$33,A5,Etapas!$F$5:$F$33,"Pendiente")</f>
        <v/>
      </c>
      <c r="F5" s="21">
        <f>IF(B5=0,0,C5/B5)</f>
        <v/>
      </c>
    </row>
    <row r="6" ht="15" customHeight="1" s="17">
      <c r="A6" s="20" t="inlineStr">
        <is>
          <t>2. Descarga de código</t>
        </is>
      </c>
      <c r="B6" s="20">
        <f>COUNTIF(Etapas!$B$5:$B$33,A6)</f>
        <v/>
      </c>
      <c r="C6" s="20">
        <f>COUNTIFS(Etapas!$B$5:$B$33,A6,Etapas!$F$5:$F$33,"Completada")</f>
        <v/>
      </c>
      <c r="D6" s="20">
        <f>COUNTIFS(Etapas!$B$5:$B$33,A6,Etapas!$F$5:$F$33,"En progreso")</f>
        <v/>
      </c>
      <c r="E6" s="20">
        <f>COUNTIFS(Etapas!$B$5:$B$33,A6,Etapas!$F$5:$F$33,"Pendiente")</f>
        <v/>
      </c>
      <c r="F6" s="21">
        <f>IF(B6=0,0,C6/B6)</f>
        <v/>
      </c>
    </row>
    <row r="7" ht="15" customHeight="1" s="17">
      <c r="A7" s="20" t="inlineStr">
        <is>
          <t>3. Ranking para probar sin reentrenar</t>
        </is>
      </c>
      <c r="B7" s="20">
        <f>COUNTIF(Etapas!$B$5:$B$33,A7)</f>
        <v/>
      </c>
      <c r="C7" s="20">
        <f>COUNTIFS(Etapas!$B$5:$B$33,A7,Etapas!$F$5:$F$33,"Completada")</f>
        <v/>
      </c>
      <c r="D7" s="20">
        <f>COUNTIFS(Etapas!$B$5:$B$33,A7,Etapas!$F$5:$F$33,"En progreso")</f>
        <v/>
      </c>
      <c r="E7" s="20">
        <f>COUNTIFS(Etapas!$B$5:$B$33,A7,Etapas!$F$5:$F$33,"Pendiente")</f>
        <v/>
      </c>
      <c r="F7" s="21">
        <f>IF(B7=0,0,C7/B7)</f>
        <v/>
      </c>
    </row>
    <row r="8" ht="15" customHeight="1" s="17">
      <c r="A8" s="20" t="inlineStr">
        <is>
          <t>4. Framework CombiLabHUB</t>
        </is>
      </c>
      <c r="B8" s="20">
        <f>COUNTIF(Etapas!$B$5:$B$33,A8)</f>
        <v/>
      </c>
      <c r="C8" s="20">
        <f>COUNTIFS(Etapas!$B$5:$B$33,A8,Etapas!$F$5:$F$33,"Completada")</f>
        <v/>
      </c>
      <c r="D8" s="20">
        <f>COUNTIFS(Etapas!$B$5:$B$33,A8,Etapas!$F$5:$F$33,"En progreso")</f>
        <v/>
      </c>
      <c r="E8" s="20">
        <f>COUNTIFS(Etapas!$B$5:$B$33,A8,Etapas!$F$5:$F$33,"Pendiente")</f>
        <v/>
      </c>
      <c r="F8" s="21">
        <f>IF(B8=0,0,C8/B8)</f>
        <v/>
      </c>
    </row>
    <row r="9" ht="15" customHeight="1" s="17">
      <c r="A9" s="20" t="inlineStr">
        <is>
          <t>5. Pruebas Nivel 1 (CPU, modelo listo)</t>
        </is>
      </c>
      <c r="B9" s="20">
        <f>COUNTIF(Etapas!$B$5:$B$33,A9)</f>
        <v/>
      </c>
      <c r="C9" s="20">
        <f>COUNTIFS(Etapas!$B$5:$B$33,A9,Etapas!$F$5:$F$33,"Completada")</f>
        <v/>
      </c>
      <c r="D9" s="20">
        <f>COUNTIFS(Etapas!$B$5:$B$33,A9,Etapas!$F$5:$F$33,"En progreso")</f>
        <v/>
      </c>
      <c r="E9" s="20">
        <f>COUNTIFS(Etapas!$B$5:$B$33,A9,Etapas!$F$5:$F$33,"Pendiente")</f>
        <v/>
      </c>
      <c r="F9" s="21">
        <f>IF(B9=0,0,C9/B9)</f>
        <v/>
      </c>
    </row>
    <row r="10" ht="15" customHeight="1" s="17">
      <c r="A10" s="20" t="inlineStr">
        <is>
          <t>6. Pruebas Nivel 2 (pasos extra)</t>
        </is>
      </c>
      <c r="B10" s="20">
        <f>COUNTIF(Etapas!$B$5:$B$33,A10)</f>
        <v/>
      </c>
      <c r="C10" s="20">
        <f>COUNTIFS(Etapas!$B$5:$B$33,A10,Etapas!$F$5:$F$33,"Completada")</f>
        <v/>
      </c>
      <c r="D10" s="20">
        <f>COUNTIFS(Etapas!$B$5:$B$33,A10,Etapas!$F$5:$F$33,"En progreso")</f>
        <v/>
      </c>
      <c r="E10" s="20">
        <f>COUNTIFS(Etapas!$B$5:$B$33,A10,Etapas!$F$5:$F$33,"Pendiente")</f>
        <v/>
      </c>
      <c r="F10" s="21">
        <f>IF(B10=0,0,C10/B10)</f>
        <v/>
      </c>
    </row>
    <row r="11" ht="15" customHeight="1" s="17">
      <c r="A11" s="20" t="inlineStr">
        <is>
          <t>7. Pruebas Nivel 3 (pesadas/complicadas)</t>
        </is>
      </c>
      <c r="B11" s="20">
        <f>COUNTIF(Etapas!$B$5:$B$33,A11)</f>
        <v/>
      </c>
      <c r="C11" s="20">
        <f>COUNTIFS(Etapas!$B$5:$B$33,A11,Etapas!$F$5:$F$33,"Completada")</f>
        <v/>
      </c>
      <c r="D11" s="20">
        <f>COUNTIFS(Etapas!$B$5:$B$33,A11,Etapas!$F$5:$F$33,"En progreso")</f>
        <v/>
      </c>
      <c r="E11" s="20">
        <f>COUNTIFS(Etapas!$B$5:$B$33,A11,Etapas!$F$5:$F$33,"Pendiente")</f>
        <v/>
      </c>
      <c r="F11" s="21">
        <f>IF(B11=0,0,C11/B11)</f>
        <v/>
      </c>
    </row>
    <row r="12" ht="15" customHeight="1" s="17">
      <c r="A12" s="20" t="inlineStr">
        <is>
          <t>8. Evaluación en CASF-2016</t>
        </is>
      </c>
      <c r="B12" s="20">
        <f>COUNTIF(Etapas!$B$5:$B$33,A12)</f>
        <v/>
      </c>
      <c r="C12" s="20">
        <f>COUNTIFS(Etapas!$B$5:$B$33,A12,Etapas!$F$5:$F$33,"Completada")</f>
        <v/>
      </c>
      <c r="D12" s="20">
        <f>COUNTIFS(Etapas!$B$5:$B$33,A12,Etapas!$F$5:$F$33,"En progreso")</f>
        <v/>
      </c>
      <c r="E12" s="20">
        <f>COUNTIFS(Etapas!$B$5:$B$33,A12,Etapas!$F$5:$F$33,"Pendiente")</f>
        <v/>
      </c>
      <c r="F12" s="21">
        <f>IF(B12=0,0,C12/B12)</f>
        <v/>
      </c>
    </row>
    <row r="13" ht="15" customHeight="1" s="17">
      <c r="A13" s="20" t="inlineStr">
        <is>
          <t>9. Interfaz</t>
        </is>
      </c>
      <c r="B13" s="20">
        <f>COUNTIF(Etapas!$B$5:$B$33,A13)</f>
        <v/>
      </c>
      <c r="C13" s="20">
        <f>COUNTIFS(Etapas!$B$5:$B$33,A13,Etapas!$F$5:$F$33,"Completada")</f>
        <v/>
      </c>
      <c r="D13" s="20">
        <f>COUNTIFS(Etapas!$B$5:$B$33,A13,Etapas!$F$5:$F$33,"En progreso")</f>
        <v/>
      </c>
      <c r="E13" s="20">
        <f>COUNTIFS(Etapas!$B$5:$B$33,A13,Etapas!$F$5:$F$33,"Pendiente")</f>
        <v/>
      </c>
      <c r="F13" s="21">
        <f>IF(B13=0,0,C13/B13)</f>
        <v/>
      </c>
    </row>
    <row r="14" ht="15" customHeight="1" s="17">
      <c r="A14" s="22" t="inlineStr">
        <is>
          <t>Total</t>
        </is>
      </c>
      <c r="B14" s="22">
        <f>SUM(B4:B13)</f>
        <v/>
      </c>
      <c r="C14" s="22">
        <f>SUM(C4:C13)</f>
        <v/>
      </c>
      <c r="D14" s="22">
        <f>SUM(D4:D13)</f>
        <v/>
      </c>
      <c r="E14" s="22">
        <f>SUM(E4:E13)</f>
        <v/>
      </c>
      <c r="F14" s="23">
        <f>IF(B14=0,0,C14/B14)</f>
        <v/>
      </c>
    </row>
    <row r="16" ht="15" customHeight="1" s="17">
      <c r="A16" s="24" t="inlineStr">
        <is>
          <t>Scoring functions</t>
        </is>
      </c>
    </row>
    <row r="17" ht="15" customHeight="1" s="17">
      <c r="A17" s="19" t="inlineStr">
        <is>
          <t>Nivel</t>
        </is>
      </c>
      <c r="B17" s="19" t="inlineStr">
        <is>
          <t>SF</t>
        </is>
      </c>
      <c r="C17" s="19" t="inlineStr">
        <is>
          <t>Instaladas</t>
        </is>
      </c>
      <c r="D17" s="19" t="inlineStr">
        <is>
          <t>Corren</t>
        </is>
      </c>
      <c r="E17" s="19" t="inlineStr">
        <is>
          <t>Con PCC</t>
        </is>
      </c>
      <c r="F17" s="25" t="n"/>
    </row>
    <row r="18" ht="15" customHeight="1" s="17">
      <c r="A18" s="20" t="inlineStr">
        <is>
          <t>Nivel 1</t>
        </is>
      </c>
      <c r="B18" s="20">
        <f>COUNTIF('Estado SF'!$A$5:$A$31,1)</f>
        <v/>
      </c>
      <c r="C18" s="20">
        <f>COUNTIFS('Estado SF'!$A$5:$A$31,1,'Estado SF'!$F$5:$F$31,"Sí")</f>
        <v/>
      </c>
      <c r="D18" s="20">
        <f>COUNTIFS('Estado SF'!$A$5:$A$31,1,'Estado SF'!$G$5:$G$31,"Sí")</f>
        <v/>
      </c>
      <c r="E18" s="20">
        <f>SUMPRODUCT(('Estado SF'!$A$5:$A$31=1)*ISNUMBER('Estado SF'!$H$5:$H$31))</f>
        <v/>
      </c>
    </row>
    <row r="19" ht="15" customHeight="1" s="17">
      <c r="A19" s="20" t="inlineStr">
        <is>
          <t>Nivel 2</t>
        </is>
      </c>
      <c r="B19" s="20">
        <f>COUNTIF('Estado SF'!$A$5:$A$31,2)</f>
        <v/>
      </c>
      <c r="C19" s="20">
        <f>COUNTIFS('Estado SF'!$A$5:$A$31,2,'Estado SF'!$F$5:$F$31,"Sí")</f>
        <v/>
      </c>
      <c r="D19" s="20">
        <f>COUNTIFS('Estado SF'!$A$5:$A$31,2,'Estado SF'!$G$5:$G$31,"Sí")</f>
        <v/>
      </c>
      <c r="E19" s="20">
        <f>SUMPRODUCT(('Estado SF'!$A$5:$A$31=2)*ISNUMBER('Estado SF'!$H$5:$H$31))</f>
        <v/>
      </c>
    </row>
    <row r="20" ht="15" customHeight="1" s="17">
      <c r="A20" s="20" t="inlineStr">
        <is>
          <t>Nivel 3</t>
        </is>
      </c>
      <c r="B20" s="20">
        <f>COUNTIF('Estado SF'!$A$5:$A$31,3)</f>
        <v/>
      </c>
      <c r="C20" s="20">
        <f>COUNTIFS('Estado SF'!$A$5:$A$31,3,'Estado SF'!$F$5:$F$31,"Sí")</f>
        <v/>
      </c>
      <c r="D20" s="20">
        <f>COUNTIFS('Estado SF'!$A$5:$A$31,3,'Estado SF'!$G$5:$G$31,"Sí")</f>
        <v/>
      </c>
      <c r="E20" s="20">
        <f>SUMPRODUCT(('Estado SF'!$A$5:$A$31=3)*ISNUMBER('Estado SF'!$H$5:$H$31))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16" min="1" max="1"/>
    <col width="30" customWidth="1" style="16" min="2" max="2"/>
    <col width="38" customWidth="1" style="16" min="3" max="3"/>
    <col width="60" customWidth="1" style="16" min="4" max="4"/>
    <col width="11" customWidth="1" style="16" min="5" max="5"/>
    <col width="14" customWidth="1" style="16" min="6" max="7"/>
    <col width="12" customWidth="1" style="16" min="8" max="9"/>
    <col width="40" customWidth="1" style="16" min="10" max="10"/>
  </cols>
  <sheetData>
    <row r="1" ht="17.25" customHeight="1" s="17">
      <c r="A1" s="18" t="inlineStr">
        <is>
          <t>CombiLabHUB – Etapas del proyecto (evaluación de scoring functions en CASF-2016)</t>
        </is>
      </c>
    </row>
    <row r="2" ht="15" customHeight="1" s="17">
      <c r="A2" s="26" t="inlineStr">
        <is>
          <t>Fuente: MEMORIA_PROYECTO_SF.md y REQUISITOS_PRUEBAS_SF.txt (18/10/2026). Celdas amarillas = para completar (Estado, Responsable, Fechas, Notas).</t>
        </is>
      </c>
    </row>
    <row r="4" ht="26.25" customHeight="1" s="17">
      <c r="A4" s="19" t="inlineStr">
        <is>
          <t>ID</t>
        </is>
      </c>
      <c r="B4" s="19" t="inlineStr">
        <is>
          <t>Etapa</t>
        </is>
      </c>
      <c r="C4" s="19" t="inlineStr">
        <is>
          <t>Tarea</t>
        </is>
      </c>
      <c r="D4" s="19" t="inlineStr">
        <is>
          <t>Detalle / entregable</t>
        </is>
      </c>
      <c r="E4" s="19" t="inlineStr">
        <is>
          <t>Depende de</t>
        </is>
      </c>
      <c r="F4" s="19" t="inlineStr">
        <is>
          <t>Estado</t>
        </is>
      </c>
      <c r="G4" s="19" t="inlineStr">
        <is>
          <t>Responsable</t>
        </is>
      </c>
      <c r="H4" s="19" t="inlineStr">
        <is>
          <t>Inicio</t>
        </is>
      </c>
      <c r="I4" s="19" t="inlineStr">
        <is>
          <t>Fin</t>
        </is>
      </c>
      <c r="J4" s="19" t="inlineStr">
        <is>
          <t>Notas</t>
        </is>
      </c>
    </row>
    <row r="5" ht="26.25" customHeight="1" s="17">
      <c r="A5" s="27" t="inlineStr">
        <is>
          <t>0.1</t>
        </is>
      </c>
      <c r="B5" s="27" t="inlineStr">
        <is>
          <t>0. Preparación del entorno</t>
        </is>
      </c>
      <c r="C5" s="27" t="inlineStr">
        <is>
          <t>Instalar Miniconda (o Docker Desktop + WSL2)</t>
        </is>
      </c>
      <c r="D5" s="27" t="inlineStr">
        <is>
          <t>Miniconda recomendado; Docker para SF con MGLTools/Chimera/PyMOL</t>
        </is>
      </c>
      <c r="E5" s="27" t="n"/>
      <c r="F5" s="28" t="inlineStr">
        <is>
          <t>Completada</t>
        </is>
      </c>
      <c r="G5" s="28" t="n"/>
      <c r="H5" s="29" t="n">
        <v>46314</v>
      </c>
      <c r="I5" s="29" t="n">
        <v>46314</v>
      </c>
      <c r="J5" s="28" t="inlineStr">
        <is>
          <t>Miniconda instalado en C:\Users\Admin\miniconda3 (conda 26.9.3, Python 3.14.8, solver libmamba incluido)</t>
        </is>
      </c>
    </row>
    <row r="6" ht="26.25" customHeight="1" s="17">
      <c r="A6" s="27" t="inlineStr">
        <is>
          <t>0.2</t>
        </is>
      </c>
      <c r="B6" s="27" t="inlineStr">
        <is>
          <t>0. Preparación del entorno</t>
        </is>
      </c>
      <c r="C6" s="27" t="inlineStr">
        <is>
          <t>Informar GPU</t>
        </is>
      </c>
      <c r="D6" s="27" t="inlineStr">
        <is>
          <t>Indicar si hay NVIDIA y modelo (Dynaformer, PIGNet2, HAC-Net la necesitan)</t>
        </is>
      </c>
      <c r="E6" s="27" t="n"/>
      <c r="F6" s="28" t="inlineStr">
        <is>
          <t>Completada</t>
        </is>
      </c>
      <c r="G6" s="28" t="n"/>
      <c r="H6" s="29" t="n">
        <v>46314</v>
      </c>
      <c r="I6" s="29" t="n">
        <v>46314</v>
      </c>
      <c r="J6" s="28" t="inlineStr">
        <is>
          <t>NVIDIA Quadro P620 (Pascal, 4 GB VRAM, compute 6.1), driver 573.44 + Intel UHD integrada; 31,6 GB RAM. Usar builds de PyTorch cu118/cu126 (las cu128 no soportan Pascal). 4 GB limita a las SF pesadas del Nivel 3</t>
        </is>
      </c>
    </row>
    <row r="7" ht="15" customHeight="1" s="17">
      <c r="A7" s="27" t="inlineStr">
        <is>
          <t>0.3</t>
        </is>
      </c>
      <c r="B7" s="27" t="inlineStr">
        <is>
          <t>0. Preparación del entorno</t>
        </is>
      </c>
      <c r="C7" s="27" t="inlineStr">
        <is>
          <t>Liberar espacio en disco</t>
        </is>
      </c>
      <c r="D7" s="27" t="inlineStr">
        <is>
          <t>~100 GB, o instalar por tandas y borrar entornos probados</t>
        </is>
      </c>
      <c r="E7" s="27" t="n"/>
      <c r="F7" s="28" t="inlineStr">
        <is>
          <t>Completada</t>
        </is>
      </c>
      <c r="G7" s="28" t="n"/>
      <c r="H7" s="29" t="n">
        <v>46314</v>
      </c>
      <c r="I7" s="29" t="n">
        <v>46314</v>
      </c>
      <c r="J7" s="28" t="inlineStr">
        <is>
          <t>284 GB libres en el disco (más que los ~100 GB necesarios)</t>
        </is>
      </c>
    </row>
    <row r="8" ht="15" customHeight="1" s="17">
      <c r="A8" s="27" t="inlineStr">
        <is>
          <t>0.4</t>
        </is>
      </c>
      <c r="B8" s="27" t="inlineStr">
        <is>
          <t>0. Preparación del entorno</t>
        </is>
      </c>
      <c r="C8" s="27" t="inlineStr">
        <is>
          <t>Descargar CASF-2016</t>
        </is>
      </c>
      <c r="D8" s="27" t="inlineStr">
        <is>
          <t>Desde PDBbind (requiere registro); dejarlo en SOFTWARE SF</t>
        </is>
      </c>
      <c r="E8" s="27" t="n"/>
      <c r="F8" s="28" t="inlineStr">
        <is>
          <t>Completada</t>
        </is>
      </c>
      <c r="G8" s="28" t="n"/>
      <c r="H8" s="29" t="n">
        <v>46314</v>
      </c>
      <c r="I8" s="29" t="n">
        <v>46314</v>
      </c>
      <c r="J8" s="28" t="inlineStr">
        <is>
          <t>Descomprimido en SOFTWARE SF\CASF-2016\CASF-2016 (30.271 archivos verificados contra el .tar.gz; coreset con 285 complejos)</t>
        </is>
      </c>
    </row>
    <row r="9" ht="26.25" customHeight="1" s="17">
      <c r="A9" s="27" t="inlineStr">
        <is>
          <t>0.5</t>
        </is>
      </c>
      <c r="B9" s="27" t="inlineStr">
        <is>
          <t>0. Preparación del entorno</t>
        </is>
      </c>
      <c r="C9" s="27" t="inlineStr">
        <is>
          <t>Habilitar dominios (opcional)</t>
        </is>
      </c>
      <c r="D9" s="27" t="inlineStr">
        <is>
          <t>conda.anaconda.org, zenodo.org, figshare.com, drive.google.com, onedrive.live.com</t>
        </is>
      </c>
      <c r="E9" s="27" t="n"/>
      <c r="F9" s="28" t="inlineStr">
        <is>
          <t>Completada</t>
        </is>
      </c>
      <c r="G9" s="28" t="n"/>
      <c r="H9" s="29" t="n">
        <v>46314</v>
      </c>
      <c r="I9" s="29" t="n">
        <v>46314</v>
      </c>
      <c r="J9" s="28" t="inlineStr">
        <is>
          <t>Verificado 19/10/2026: conda.anaconda.org, zenodo.org, figshare.com, drive.google.com y onedrive.live.com accesibles desde la nube</t>
        </is>
      </c>
    </row>
    <row r="10" ht="15" customHeight="1" s="17">
      <c r="A10" s="27" t="inlineStr">
        <is>
          <t>1.1</t>
        </is>
      </c>
      <c r="B10" s="27" t="inlineStr">
        <is>
          <t>1. Relevamiento de SF</t>
        </is>
      </c>
      <c r="C10" s="27" t="inlineStr">
        <is>
          <t>Extraer tabla de 49 SF del PPTX</t>
        </is>
      </c>
      <c r="D10" s="27" t="inlineStr">
        <is>
          <t>Scoring_functions_descargadas.xlsx (ES/EN/PT)</t>
        </is>
      </c>
      <c r="E10" s="27" t="n"/>
      <c r="F10" s="28" t="inlineStr">
        <is>
          <t>Completada</t>
        </is>
      </c>
      <c r="G10" s="28" t="n"/>
      <c r="H10" s="29" t="n"/>
      <c r="I10" s="29" t="n"/>
      <c r="J10" s="28" t="n"/>
    </row>
    <row r="11" ht="26.25" customHeight="1" s="17">
      <c r="A11" s="27" t="inlineStr">
        <is>
          <t>1.2</t>
        </is>
      </c>
      <c r="B11" s="27" t="inlineStr">
        <is>
          <t>1. Relevamiento de SF</t>
        </is>
      </c>
      <c r="C11" s="27" t="inlineStr">
        <is>
          <t>Investigar 7 columnas extra</t>
        </is>
      </c>
      <c r="D11" s="27" t="inlineStr">
        <is>
          <t>Dataset, tamaño, tipo, algoritmo, descriptores, feature selection, algoritmo de selección + fuente y confianza</t>
        </is>
      </c>
      <c r="E11" s="27" t="inlineStr">
        <is>
          <t>1.1</t>
        </is>
      </c>
      <c r="F11" s="28" t="inlineStr">
        <is>
          <t>Completada</t>
        </is>
      </c>
      <c r="G11" s="28" t="n"/>
      <c r="H11" s="29" t="n"/>
      <c r="I11" s="29" t="n"/>
      <c r="J11" s="28" t="inlineStr">
        <is>
          <t>33 Alta, 8 Media, 8 Baja confianza</t>
        </is>
      </c>
    </row>
    <row r="12" ht="15" customHeight="1" s="17">
      <c r="A12" s="27" t="inlineStr">
        <is>
          <t>2.1</t>
        </is>
      </c>
      <c r="B12" s="27" t="inlineStr">
        <is>
          <t>2. Descarga de código</t>
        </is>
      </c>
      <c r="C12" s="27" t="inlineStr">
        <is>
          <t>Descargar repos de las 49 SF</t>
        </is>
      </c>
      <c r="D12" s="27" t="inlineStr">
        <is>
          <t>Funciones_Score_Tabla1/ + INDICE_funciones_score.csv</t>
        </is>
      </c>
      <c r="E12" s="27" t="inlineStr">
        <is>
          <t>1.1</t>
        </is>
      </c>
      <c r="F12" s="28" t="inlineStr">
        <is>
          <t>Completada</t>
        </is>
      </c>
      <c r="G12" s="28" t="n"/>
      <c r="H12" s="29" t="n"/>
      <c r="I12" s="29" t="n"/>
      <c r="J12" s="28" t="n"/>
    </row>
    <row r="13" ht="15" customHeight="1" s="17">
      <c r="A13" s="27" t="inlineStr">
        <is>
          <t>2.2</t>
        </is>
      </c>
      <c r="B13" s="27" t="inlineStr">
        <is>
          <t>2. Descarga de código</t>
        </is>
      </c>
      <c r="C13" s="27" t="inlineStr">
        <is>
          <t>Descargar SF de Su et al. 2019</t>
        </is>
      </c>
      <c r="D13" s="27" t="inlineStr">
        <is>
          <t>Vina, ΔVinaRF20, vina4dv en Funciones_Score_Su2018/</t>
        </is>
      </c>
      <c r="E13" s="27" t="n"/>
      <c r="F13" s="28" t="inlineStr">
        <is>
          <t>Completada</t>
        </is>
      </c>
      <c r="G13" s="28" t="n"/>
      <c r="H13" s="29" t="n"/>
      <c r="I13" s="29" t="n"/>
      <c r="J13" s="28" t="n"/>
    </row>
    <row r="14" ht="15" customHeight="1" s="17">
      <c r="A14" s="27" t="inlineStr">
        <is>
          <t>2.3</t>
        </is>
      </c>
      <c r="B14" s="27" t="inlineStr">
        <is>
          <t>2. Descarga de código</t>
        </is>
      </c>
      <c r="C14" s="27" t="inlineStr">
        <is>
          <t>Pendientes de descarga</t>
        </is>
      </c>
      <c r="D14" s="27" t="inlineStr">
        <is>
          <t>DAAP y LigityScore (GitLab); MSSDTA sin código público</t>
        </is>
      </c>
      <c r="E14" s="27" t="inlineStr">
        <is>
          <t>2.1</t>
        </is>
      </c>
      <c r="F14" s="28" t="inlineStr">
        <is>
          <t>Pendiente</t>
        </is>
      </c>
      <c r="G14" s="28" t="n"/>
      <c r="H14" s="29" t="n"/>
      <c r="I14" s="29" t="n"/>
      <c r="J14" s="28" t="n"/>
    </row>
    <row r="15" ht="15" customHeight="1" s="17">
      <c r="A15" s="27" t="inlineStr">
        <is>
          <t>2.4</t>
        </is>
      </c>
      <c r="B15" s="27" t="inlineStr">
        <is>
          <t>2. Descarga de código</t>
        </is>
      </c>
      <c r="C15" s="27" t="inlineStr">
        <is>
          <t>Verificar et_score.sav en Files.7z</t>
        </is>
      </c>
      <c r="D15" s="27" t="inlineStr">
        <is>
          <t>Confirmar modelo de ET-Score</t>
        </is>
      </c>
      <c r="E15" s="27" t="inlineStr">
        <is>
          <t>2.1</t>
        </is>
      </c>
      <c r="F15" s="28" t="inlineStr">
        <is>
          <t>Completada</t>
        </is>
      </c>
      <c r="G15" s="28" t="n"/>
      <c r="H15" s="29" t="n">
        <v>46314</v>
      </c>
      <c r="I15" s="29" t="n">
        <v>46314</v>
      </c>
      <c r="J15" s="28" t="inlineStr">
        <is>
          <t>19/10/2026: et_score.sav descargado de Figshare (10.6084/m9.figshare.23684538), MD5 c7c5865d… verificado; no hace falta Files.7z</t>
        </is>
      </c>
    </row>
    <row r="16" ht="26.25" customHeight="1" s="17">
      <c r="A16" s="27" t="inlineStr">
        <is>
          <t>3.1</t>
        </is>
      </c>
      <c r="B16" s="27" t="inlineStr">
        <is>
          <t>3. Ranking para probar sin reentrenar</t>
        </is>
      </c>
      <c r="C16" s="27" t="inlineStr">
        <is>
          <t>Clasificar SF por dificultad</t>
        </is>
      </c>
      <c r="D16" s="27" t="inlineStr">
        <is>
          <t>Nivel 1 (10), Nivel 2 (7), Nivel 3 (10), descartadas (20, sin modelo entrenado)</t>
        </is>
      </c>
      <c r="E16" s="27" t="inlineStr">
        <is>
          <t>2.1</t>
        </is>
      </c>
      <c r="F16" s="28" t="inlineStr">
        <is>
          <t>Completada</t>
        </is>
      </c>
      <c r="G16" s="28" t="n"/>
      <c r="H16" s="29" t="n"/>
      <c r="I16" s="29" t="n"/>
      <c r="J16" s="28" t="n"/>
    </row>
    <row r="17" ht="26.25" customHeight="1" s="17">
      <c r="A17" s="27" t="inlineStr">
        <is>
          <t>4.1</t>
        </is>
      </c>
      <c r="B17" s="27" t="inlineStr">
        <is>
          <t>4. Framework CombiLabHUB</t>
        </is>
      </c>
      <c r="C17" s="27" t="inlineStr">
        <is>
          <t>Núcleo CLI + adaptadores Nivel 1</t>
        </is>
      </c>
      <c r="D17" s="27" t="inlineStr">
        <is>
          <t>Borrador en CombiLabHUB_borrador.tar.gz con commits upstream fijados</t>
        </is>
      </c>
      <c r="E17" s="27" t="inlineStr">
        <is>
          <t>3.1</t>
        </is>
      </c>
      <c r="F17" s="28" t="inlineStr">
        <is>
          <t>En progreso</t>
        </is>
      </c>
      <c r="G17" s="28" t="n"/>
      <c r="H17" s="29" t="n"/>
      <c r="I17" s="29" t="n"/>
      <c r="J17" s="28" t="inlineStr">
        <is>
          <t>Borrador hecho</t>
        </is>
      </c>
    </row>
    <row r="18" ht="26.25" customHeight="1" s="17">
      <c r="A18" s="27" t="inlineStr">
        <is>
          <t>4.2</t>
        </is>
      </c>
      <c r="B18" s="27" t="inlineStr">
        <is>
          <t>4. Framework CombiLabHUB</t>
        </is>
      </c>
      <c r="C18" s="27" t="inlineStr">
        <is>
          <t>Repositorio GitHub</t>
        </is>
      </c>
      <c r="D18" s="27" t="inlineStr">
        <is>
          <t>Temporal: oarrua88/combi_lab_hub_tmp; definitivo: combilab-furg/combi_lab_hub</t>
        </is>
      </c>
      <c r="E18" s="27" t="n"/>
      <c r="F18" s="28" t="inlineStr">
        <is>
          <t>En progreso</t>
        </is>
      </c>
      <c r="G18" s="28" t="n"/>
      <c r="H18" s="29" t="n"/>
      <c r="I18" s="29" t="n"/>
      <c r="J18" s="28" t="inlineStr">
        <is>
          <t>Esperando permiso al repo de la organización | 19/10/2026: GitHub vinculado a Claude; los push al repo temporal ya funcionan desde Claude</t>
        </is>
      </c>
    </row>
    <row r="19" ht="15" customHeight="1" s="17">
      <c r="A19" s="27" t="inlineStr">
        <is>
          <t>4.3</t>
        </is>
      </c>
      <c r="B19" s="27" t="inlineStr">
        <is>
          <t>4. Framework CombiLabHUB</t>
        </is>
      </c>
      <c r="C19" s="27" t="inlineStr">
        <is>
          <t>Subir el borrador al repo</t>
        </is>
      </c>
      <c r="D19" s="27" t="inlineStr">
        <is>
          <t>Descomprimir, git add, primer commit</t>
        </is>
      </c>
      <c r="E19" s="27" t="inlineStr">
        <is>
          <t>4.1, 4.2</t>
        </is>
      </c>
      <c r="F19" s="28" t="inlineStr">
        <is>
          <t>Pendiente</t>
        </is>
      </c>
      <c r="G19" s="28" t="n"/>
      <c r="H19" s="29" t="n"/>
      <c r="I19" s="29" t="n"/>
      <c r="J19" s="28" t="n"/>
    </row>
    <row r="20" ht="15" customHeight="1" s="17">
      <c r="A20" s="27" t="inlineStr">
        <is>
          <t>4.4</t>
        </is>
      </c>
      <c r="B20" s="27" t="inlineStr">
        <is>
          <t>4. Framework CombiLabHUB</t>
        </is>
      </c>
      <c r="C20" s="27" t="inlineStr">
        <is>
          <t>Manifest de plugins</t>
        </is>
      </c>
      <c r="D20" s="27" t="inlineStr">
        <is>
          <t>Lista de SF con versión, entorno y commit upstream</t>
        </is>
      </c>
      <c r="E20" s="27" t="inlineStr">
        <is>
          <t>4.1</t>
        </is>
      </c>
      <c r="F20" s="28" t="inlineStr">
        <is>
          <t>Pendiente</t>
        </is>
      </c>
      <c r="G20" s="28" t="n"/>
      <c r="H20" s="29" t="n"/>
      <c r="I20" s="29" t="n"/>
      <c r="J20" s="28" t="n"/>
    </row>
    <row r="21" ht="15" customHeight="1" s="17">
      <c r="A21" s="27" t="inlineStr">
        <is>
          <t>4.5</t>
        </is>
      </c>
      <c r="B21" s="27" t="inlineStr">
        <is>
          <t>4. Framework CombiLabHUB</t>
        </is>
      </c>
      <c r="C21" s="27" t="inlineStr">
        <is>
          <t>environment.yml / Dockerfile por SF</t>
        </is>
      </c>
      <c r="D21" s="27" t="inlineStr">
        <is>
          <t>Un entorno reproducible por plugin</t>
        </is>
      </c>
      <c r="E21" s="27" t="inlineStr">
        <is>
          <t>4.1</t>
        </is>
      </c>
      <c r="F21" s="28" t="inlineStr">
        <is>
          <t>En progreso</t>
        </is>
      </c>
      <c r="G21" s="28" t="n"/>
      <c r="H21" s="29" t="n">
        <v>46314</v>
      </c>
      <c r="I21" s="29" t="n"/>
      <c r="J21" s="28" t="inlineStr">
        <is>
          <t>19/10/2026: hechos ET-Score, GB-Score, OnionNet-2 y Sfcnn (environment.yml + Dockerfile con commit y MD5 fijados); faltan 6 del Nivel 1</t>
        </is>
      </c>
    </row>
    <row r="22" ht="15" customHeight="1" s="17">
      <c r="A22" s="27" t="inlineStr">
        <is>
          <t>4.6</t>
        </is>
      </c>
      <c r="B22" s="27" t="inlineStr">
        <is>
          <t>4. Framework CombiLabHUB</t>
        </is>
      </c>
      <c r="C22" s="27" t="inlineStr">
        <is>
          <t>setup.sh</t>
        </is>
      </c>
      <c r="D22" s="27" t="inlineStr">
        <is>
          <t>Script de instalación automatizada</t>
        </is>
      </c>
      <c r="E22" s="27" t="inlineStr">
        <is>
          <t>4.5</t>
        </is>
      </c>
      <c r="F22" s="28" t="inlineStr">
        <is>
          <t>Pendiente</t>
        </is>
      </c>
      <c r="G22" s="28" t="n"/>
      <c r="H22" s="29" t="n"/>
      <c r="I22" s="29" t="n"/>
      <c r="J22" s="28" t="n"/>
    </row>
    <row r="23" ht="15" customHeight="1" s="17">
      <c r="A23" s="27" t="inlineStr">
        <is>
          <t>4.7</t>
        </is>
      </c>
      <c r="B23" s="27" t="inlineStr">
        <is>
          <t>4. Framework CombiLabHUB</t>
        </is>
      </c>
      <c r="C23" s="27" t="inlineStr">
        <is>
          <t>INSTALAR.md por plugin</t>
        </is>
      </c>
      <c r="D23" s="27" t="inlineStr">
        <is>
          <t>Guía de instalación paso a paso</t>
        </is>
      </c>
      <c r="E23" s="27" t="inlineStr">
        <is>
          <t>4.5</t>
        </is>
      </c>
      <c r="F23" s="28" t="inlineStr">
        <is>
          <t>En progreso</t>
        </is>
      </c>
      <c r="G23" s="28" t="n"/>
      <c r="H23" s="29" t="n">
        <v>46314</v>
      </c>
      <c r="I23" s="29" t="n"/>
      <c r="J23" s="28" t="inlineStr">
        <is>
          <t>19/10/2026: INSTALL.md + test_1a30.py + demo .bat hechos para ET-Score, GB-Score, OnionNet-2 y Sfcnn (en inglés)</t>
        </is>
      </c>
    </row>
    <row r="24" ht="15" customHeight="1" s="17">
      <c r="A24" s="27" t="inlineStr">
        <is>
          <t>4.8</t>
        </is>
      </c>
      <c r="B24" s="27" t="inlineStr">
        <is>
          <t>4. Framework CombiLabHUB</t>
        </is>
      </c>
      <c r="C24" s="27" t="inlineStr">
        <is>
          <t>README del proyecto</t>
        </is>
      </c>
      <c r="D24" s="27" t="inlineStr">
        <is>
          <t>Uso del CLI, estructura, cómo agregar una SF</t>
        </is>
      </c>
      <c r="E24" s="27" t="inlineStr">
        <is>
          <t>4.1</t>
        </is>
      </c>
      <c r="F24" s="28" t="inlineStr">
        <is>
          <t>Pendiente</t>
        </is>
      </c>
      <c r="G24" s="28" t="n"/>
      <c r="H24" s="29" t="n"/>
      <c r="I24" s="29" t="n"/>
      <c r="J24" s="28" t="n"/>
    </row>
    <row r="25" ht="26.25" customHeight="1" s="17">
      <c r="A25" s="27" t="inlineStr">
        <is>
          <t>5.1</t>
        </is>
      </c>
      <c r="B25" s="27" t="inlineStr">
        <is>
          <t>5. Pruebas Nivel 1 (CPU, modelo listo)</t>
        </is>
      </c>
      <c r="C25" s="27" t="inlineStr">
        <is>
          <t>ET-Score y GB-Score</t>
        </is>
      </c>
      <c r="D25" s="27" t="inlineStr">
        <is>
          <t>Mismo entorno scikit-learn; test con 1 complejo + core set CASF-2016</t>
        </is>
      </c>
      <c r="E25" s="27" t="inlineStr">
        <is>
          <t>0.4, 4.5</t>
        </is>
      </c>
      <c r="F25" s="28" t="inlineStr">
        <is>
          <t>En progreso</t>
        </is>
      </c>
      <c r="G25" s="28" t="n"/>
      <c r="H25" s="29" t="n">
        <v>46314</v>
      </c>
      <c r="I25" s="29" t="n"/>
      <c r="J25" s="28" t="inlineStr">
        <is>
          <t>Primeras a probar | 19/10/2026: ET-Score y GB-Score pasan el test con 1a30 (pKd 5.6837 y 5.6171). Falta correr el core set completo y calcular PCC</t>
        </is>
      </c>
    </row>
    <row r="26" ht="26.25" customHeight="1" s="17">
      <c r="A26" s="27" t="inlineStr">
        <is>
          <t>5.2</t>
        </is>
      </c>
      <c r="B26" s="27" t="inlineStr">
        <is>
          <t>5. Pruebas Nivel 1 (CPU, modelo listo)</t>
        </is>
      </c>
      <c r="C26" s="27" t="inlineStr">
        <is>
          <t>OnionNet-2 y SFCNN</t>
        </is>
      </c>
      <c r="D26" s="27" t="inlineStr">
        <is>
          <t>TensorFlow CPU (+ OpenBabel en SFCNN)</t>
        </is>
      </c>
      <c r="E26" s="27" t="inlineStr">
        <is>
          <t>5.1</t>
        </is>
      </c>
      <c r="F26" s="28" t="inlineStr">
        <is>
          <t>Completada</t>
        </is>
      </c>
      <c r="G26" s="28" t="n"/>
      <c r="H26" s="29" t="n">
        <v>46314</v>
      </c>
      <c r="I26" s="29" t="n">
        <v>46314</v>
      </c>
      <c r="J26" s="28" t="inlineStr">
        <is>
          <t>19/10/2026: OnionNet-2 (pKd 1a30 5.4568 con archivos de los autores / 5.8866 CASF) y Sfcnn (5.4721, igual a los autores; 74 poses de docking iguales) pasan el test con 1a30</t>
        </is>
      </c>
    </row>
    <row r="27" ht="26.25" customHeight="1" s="17">
      <c r="A27" s="27" t="inlineStr">
        <is>
          <t>5.3</t>
        </is>
      </c>
      <c r="B27" s="27" t="inlineStr">
        <is>
          <t>5. Pruebas Nivel 1 (CPU, modelo listo)</t>
        </is>
      </c>
      <c r="C27" s="27" t="inlineStr">
        <is>
          <t>Resto del Nivel 1</t>
        </is>
      </c>
      <c r="D27" s="27" t="inlineStr">
        <is>
          <t>PLANET, egGNN, GIGN, EHIGN-PLA, saCNN, DEAttentionDTA</t>
        </is>
      </c>
      <c r="E27" s="27" t="inlineStr">
        <is>
          <t>5.2</t>
        </is>
      </c>
      <c r="F27" s="28" t="inlineStr">
        <is>
          <t>Pendiente</t>
        </is>
      </c>
      <c r="G27" s="28" t="n"/>
      <c r="H27" s="29" t="n"/>
      <c r="I27" s="29" t="n"/>
      <c r="J27" s="28" t="n"/>
    </row>
    <row r="28" ht="26.25" customHeight="1" s="17">
      <c r="A28" s="27" t="inlineStr">
        <is>
          <t>6.1</t>
        </is>
      </c>
      <c r="B28" s="27" t="inlineStr">
        <is>
          <t>6. Pruebas Nivel 2 (pasos extra)</t>
        </is>
      </c>
      <c r="C28" s="27" t="inlineStr">
        <is>
          <t>SF del Nivel 2</t>
        </is>
      </c>
      <c r="D28" s="27" t="inlineStr">
        <is>
          <t>DeepBindGCN, HAC-Net, delta_LinF9_XGB, GraphscoreDTA, IGModel, ConBAP, CPIScore</t>
        </is>
      </c>
      <c r="E28" s="27" t="inlineStr">
        <is>
          <t>5.3</t>
        </is>
      </c>
      <c r="F28" s="28" t="inlineStr">
        <is>
          <t>Pendiente</t>
        </is>
      </c>
      <c r="G28" s="28" t="n"/>
      <c r="H28" s="29" t="n"/>
      <c r="I28" s="29" t="n"/>
      <c r="J28" s="28" t="n"/>
    </row>
    <row r="29" ht="26.25" customHeight="1" s="17">
      <c r="A29" s="27" t="inlineStr">
        <is>
          <t>7.1</t>
        </is>
      </c>
      <c r="B29" s="27" t="inlineStr">
        <is>
          <t>7. Pruebas Nivel 3 (pesadas/complicadas)</t>
        </is>
      </c>
      <c r="C29" s="27" t="inlineStr">
        <is>
          <t>SF del Nivel 3</t>
        </is>
      </c>
      <c r="D29" s="27" t="inlineStr">
        <is>
          <t>PointNet, PIGNet2, Dynaformer, TopoFormer, BAPA, CGraphDTA, EGNA, HydraScreen, RFL-Score, P3-Score</t>
        </is>
      </c>
      <c r="E29" s="27" t="inlineStr">
        <is>
          <t>6.1, 0.2</t>
        </is>
      </c>
      <c r="F29" s="28" t="inlineStr">
        <is>
          <t>Pendiente</t>
        </is>
      </c>
      <c r="G29" s="28" t="n"/>
      <c r="H29" s="29" t="n"/>
      <c r="I29" s="29" t="n"/>
      <c r="J29" s="28" t="inlineStr">
        <is>
          <t>GPU, licencias (X-Score) o API (HydraScreen)</t>
        </is>
      </c>
    </row>
    <row r="30" ht="15" customHeight="1" s="17">
      <c r="A30" s="27" t="inlineStr">
        <is>
          <t>8.1</t>
        </is>
      </c>
      <c r="B30" s="27" t="inlineStr">
        <is>
          <t>8. Evaluación en CASF-2016</t>
        </is>
      </c>
      <c r="C30" s="27" t="inlineStr">
        <is>
          <t>Calcular PCC por SF</t>
        </is>
      </c>
      <c r="D30" s="27" t="inlineStr">
        <is>
          <t>Comparar PCC obtenido vs. reportado (hoja Estado SF)</t>
        </is>
      </c>
      <c r="E30" s="27" t="inlineStr">
        <is>
          <t>5.1</t>
        </is>
      </c>
      <c r="F30" s="28" t="inlineStr">
        <is>
          <t>Pendiente</t>
        </is>
      </c>
      <c r="G30" s="28" t="n"/>
      <c r="H30" s="29" t="n"/>
      <c r="I30" s="29" t="n"/>
      <c r="J30" s="28" t="n"/>
    </row>
    <row r="31" ht="26.25" customHeight="1" s="17">
      <c r="A31" s="27" t="inlineStr">
        <is>
          <t>8.2</t>
        </is>
      </c>
      <c r="B31" s="27" t="inlineStr">
        <is>
          <t>8. Evaluación en CASF-2016</t>
        </is>
      </c>
      <c r="C31" s="27" t="inlineStr">
        <is>
          <t>Usar versiones corregidas de Eaves et al.</t>
        </is>
      </c>
      <c r="D31" s="27" t="inlineStr">
        <is>
          <t>17 modelos en github.com/jeavesj</t>
        </is>
      </c>
      <c r="E31" s="27" t="n"/>
      <c r="F31" s="28" t="inlineStr">
        <is>
          <t>Pendiente</t>
        </is>
      </c>
      <c r="G31" s="28" t="n"/>
      <c r="H31" s="29" t="n"/>
      <c r="I31" s="29" t="n"/>
      <c r="J31" s="28" t="n"/>
    </row>
    <row r="32" ht="15" customHeight="1" s="17">
      <c r="A32" s="27" t="inlineStr">
        <is>
          <t>8.3</t>
        </is>
      </c>
      <c r="B32" s="27" t="inlineStr">
        <is>
          <t>8. Evaluación en CASF-2016</t>
        </is>
      </c>
      <c r="C32" s="27" t="inlineStr">
        <is>
          <t>Informe comparativo</t>
        </is>
      </c>
      <c r="D32" s="27" t="inlineStr">
        <is>
          <t>Tabla/gráficos de resultados para el laboratorio</t>
        </is>
      </c>
      <c r="E32" s="27" t="inlineStr">
        <is>
          <t>8.1</t>
        </is>
      </c>
      <c r="F32" s="28" t="inlineStr">
        <is>
          <t>Pendiente</t>
        </is>
      </c>
      <c r="G32" s="28" t="n"/>
      <c r="H32" s="29" t="n"/>
      <c r="I32" s="29" t="n"/>
      <c r="J32" s="28" t="n"/>
    </row>
    <row r="33" ht="15" customHeight="1" s="17">
      <c r="A33" s="27" t="inlineStr">
        <is>
          <t>9.1</t>
        </is>
      </c>
      <c r="B33" s="27" t="inlineStr">
        <is>
          <t>9. Interfaz</t>
        </is>
      </c>
      <c r="C33" s="27" t="inlineStr">
        <is>
          <t>Interfaz para ejecutar cada SF</t>
        </is>
      </c>
      <c r="D33" s="27" t="inlineStr">
        <is>
          <t>UI sobre el CLI de CombiLabHUB</t>
        </is>
      </c>
      <c r="E33" s="27" t="inlineStr">
        <is>
          <t>5.3</t>
        </is>
      </c>
      <c r="F33" s="28" t="inlineStr">
        <is>
          <t>Pendiente</t>
        </is>
      </c>
      <c r="G33" s="28" t="n"/>
      <c r="H33" s="29" t="n"/>
      <c r="I33" s="29" t="n"/>
      <c r="J33" s="28" t="n"/>
    </row>
  </sheetData>
  <autoFilter ref="A4:J33"/>
  <conditionalFormatting sqref="F5:F33">
    <cfRule type="cellIs" rank="0" priority="2" equalAverage="0" operator="equal" aboveAverage="0" dxfId="7" text="" percent="0" bottom="0">
      <formula>"Completada"</formula>
    </cfRule>
    <cfRule type="cellIs" rank="0" priority="3" equalAverage="0" operator="equal" aboveAverage="0" dxfId="8" text="" percent="0" bottom="0">
      <formula>"En progreso"</formula>
    </cfRule>
    <cfRule type="cellIs" rank="0" priority="4" equalAverage="0" operator="equal" aboveAverage="0" dxfId="9" text="" percent="0" bottom="0">
      <formula>"Pendiente"</formula>
    </cfRule>
    <cfRule type="cellIs" rank="0" priority="5" equalAverage="0" operator="equal" aboveAverage="0" dxfId="10" text="" percent="0" bottom="0">
      <formula>"Bloqueada"</formula>
    </cfRule>
  </conditionalFormatting>
  <dataValidations count="1">
    <dataValidation sqref="F5:F33" showDropDown="0" showInputMessage="0" showErrorMessage="0" allowBlank="1" type="list" errorStyle="stop" operator="between">
      <formula1>"Pendiente,En progreso,Completada,Bloqueada"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6" min="1" max="1"/>
    <col width="5" customWidth="1" style="16" min="2" max="2"/>
    <col width="20" customWidth="1" style="16" min="3" max="3"/>
    <col width="32" customWidth="1" style="16" min="4" max="4"/>
    <col width="30" customWidth="1" style="16" min="5" max="5"/>
    <col width="11" customWidth="1" style="16" min="6" max="6"/>
    <col width="10" customWidth="1" style="16" min="7" max="7"/>
    <col width="12" customWidth="1" style="16" min="8" max="9"/>
    <col width="11" customWidth="1" style="16" min="10" max="10"/>
    <col width="40" customWidth="1" style="16" min="11" max="11"/>
  </cols>
  <sheetData>
    <row r="1" ht="17.25" customHeight="1" s="17">
      <c r="A1" s="18" t="inlineStr">
        <is>
          <t>Estado de cada scoring function (solo inferencia, sin reentrenar)</t>
        </is>
      </c>
    </row>
    <row r="2" ht="15" customHeight="1" s="17">
      <c r="A2" s="26" t="inlineStr">
        <is>
          <t>Completar celdas amarillas. PCC reportado = valor del artículo original en CASF-2016. Diferencia se calcula sola.</t>
        </is>
      </c>
    </row>
    <row r="4" ht="39" customHeight="1" s="17">
      <c r="A4" s="19" t="inlineStr">
        <is>
          <t>Nivel</t>
        </is>
      </c>
      <c r="B4" s="19" t="inlineStr">
        <is>
          <t>#</t>
        </is>
      </c>
      <c r="C4" s="19" t="inlineStr">
        <is>
          <t>Scoring function</t>
        </is>
      </c>
      <c r="D4" s="19" t="inlineStr">
        <is>
          <t>Modelo entrenado / fuente</t>
        </is>
      </c>
      <c r="E4" s="19" t="inlineStr">
        <is>
          <t>Dependencias principales</t>
        </is>
      </c>
      <c r="F4" s="19" t="inlineStr">
        <is>
          <t>Instalada</t>
        </is>
      </c>
      <c r="G4" s="19" t="inlineStr">
        <is>
          <t>Corre</t>
        </is>
      </c>
      <c r="H4" s="19" t="inlineStr">
        <is>
          <t>PCC obtenido</t>
        </is>
      </c>
      <c r="I4" s="19" t="inlineStr">
        <is>
          <t>PCC reportado</t>
        </is>
      </c>
      <c r="J4" s="19" t="inlineStr">
        <is>
          <t>Diferencia</t>
        </is>
      </c>
      <c r="K4" s="19" t="inlineStr">
        <is>
          <t>Problemas / notas</t>
        </is>
      </c>
    </row>
    <row r="5" ht="15" customHeight="1" s="17">
      <c r="A5" s="27" t="n">
        <v>1</v>
      </c>
      <c r="B5" s="27" t="n">
        <v>1</v>
      </c>
      <c r="C5" s="27" t="inlineStr">
        <is>
          <t>ET-Score</t>
        </is>
      </c>
      <c r="D5" s="27" t="inlineStr">
        <is>
          <t>et_score.sav (Files.7z o Figshare)</t>
        </is>
      </c>
      <c r="E5" s="27" t="inlineStr">
        <is>
          <t>scikit-learn</t>
        </is>
      </c>
      <c r="F5" s="28" t="inlineStr">
        <is>
          <t>Sí</t>
        </is>
      </c>
      <c r="G5" s="28" t="inlineStr">
        <is>
          <t>Sí</t>
        </is>
      </c>
      <c r="H5" s="30" t="n"/>
      <c r="I5" s="30" t="n">
        <v>0.827</v>
      </c>
      <c r="J5" s="31">
        <f>IF(AND(ISNUMBER(H5),ISNUMBER(I5)),H5-I5,"")</f>
        <v/>
      </c>
      <c r="K5" s="28" t="inlineStr">
        <is>
          <t>19/10/2026: test 1a30 PASS (pKd 5.6837, igual a los autores). Requiere Python 3.7 + sklearn 0.22.2 exactos; con 0.22.2 los autores reportan PCC 0.793. Plugin: plugins/et_score</t>
        </is>
      </c>
    </row>
    <row r="6" ht="15" customHeight="1" s="17">
      <c r="A6" s="27" t="n">
        <v>1</v>
      </c>
      <c r="B6" s="27" t="n">
        <v>2</v>
      </c>
      <c r="C6" s="27" t="inlineStr">
        <is>
          <t>GB-Score</t>
        </is>
      </c>
      <c r="D6" s="27" t="inlineStr">
        <is>
          <t>.joblib en Figshare</t>
        </is>
      </c>
      <c r="E6" s="27" t="inlineStr">
        <is>
          <t>scikit-learn</t>
        </is>
      </c>
      <c r="F6" s="28" t="inlineStr">
        <is>
          <t>Sí</t>
        </is>
      </c>
      <c r="G6" s="28" t="inlineStr">
        <is>
          <t>Sí</t>
        </is>
      </c>
      <c r="H6" s="30" t="n"/>
      <c r="I6" s="30" t="n">
        <v>0.862</v>
      </c>
      <c r="J6" s="31">
        <f>IF(AND(ISNUMBER(H6),ISNUMBER(I6)),H6-I6,"")</f>
        <v/>
      </c>
      <c r="K6" s="28" t="inlineStr">
        <is>
          <t>19/10/2026: test 1a30 PASS (pKd 5.6171). El repo no trae script de predicción: el modelo usa 104 features filtradas y normalizadas (tabla reconstruida desde total_set_2019.csv). generate_features.py público subcuenta los H de la proteína; corregido leyendo el elemento del PDB. Plugin: plugins/gb_score</t>
        </is>
      </c>
    </row>
    <row r="7" ht="15" customHeight="1" s="17">
      <c r="A7" s="27" t="n">
        <v>1</v>
      </c>
      <c r="B7" s="27" t="n">
        <v>3</v>
      </c>
      <c r="C7" s="27" t="inlineStr">
        <is>
          <t>OnionNet-2</t>
        </is>
      </c>
      <c r="D7" s="27" t="inlineStr">
        <is>
          <t>62shell_saved-model.h5 (Zenodo 10728089, 885 MB)</t>
        </is>
      </c>
      <c r="E7" s="27" t="inlineStr">
        <is>
          <t>TensorFlow CPU</t>
        </is>
      </c>
      <c r="F7" s="28" t="inlineStr">
        <is>
          <t>Sí</t>
        </is>
      </c>
      <c r="G7" s="28" t="inlineStr">
        <is>
          <t>Sí</t>
        </is>
      </c>
      <c r="H7" s="30" t="n"/>
      <c r="I7" s="30" t="n">
        <v>0.864</v>
      </c>
      <c r="J7" s="31">
        <f>IF(AND(ISNUMBER(H7),ISNUMBER(I7)),H7-I7,"")</f>
        <v/>
      </c>
      <c r="K7" s="28" t="inlineStr">
        <is>
          <t>19/10/2026: test 1a30 PASS. TensorFlow 2.3.4 CPU + sklearn 0.22.1 + Open Babel (ligando .mol2 -&gt; .pdb). Las aguas cristalográficas del PDB cambian la predicción (con aguas 5.4568, CASF sin aguas 5.8866): definir qué archivos usar para el PCC. Eaves et al. reproducen PCC 0.851. Plugin: plugins/onionnet2</t>
        </is>
      </c>
    </row>
    <row r="8" ht="15" customHeight="1" s="17">
      <c r="A8" s="27" t="n">
        <v>1</v>
      </c>
      <c r="B8" s="27" t="n">
        <v>4</v>
      </c>
      <c r="C8" s="27" t="inlineStr">
        <is>
          <t>SFCNN</t>
        </is>
      </c>
      <c r="D8" s="27" t="inlineStr">
        <is>
          <t>weights_22_112-0.0083.h5 (en el repo, 5.5 MB)</t>
        </is>
      </c>
      <c r="E8" s="27" t="inlineStr">
        <is>
          <t>TensorFlow 2.3 CPU + Open Babel 3.1</t>
        </is>
      </c>
      <c r="F8" s="28" t="inlineStr">
        <is>
          <t>Sí</t>
        </is>
      </c>
      <c r="G8" s="28" t="inlineStr">
        <is>
          <t>Sí</t>
        </is>
      </c>
      <c r="H8" s="30" t="n"/>
      <c r="I8" s="30" t="n">
        <v>0.793</v>
      </c>
      <c r="J8" s="31">
        <f>IF(AND(ISNUMBER(H8),ISNUMBER(I8)),H8-I8,"")</f>
        <v/>
      </c>
      <c r="K8" s="28" t="inlineStr">
        <is>
          <t>19/10/2026: test 1a30 PASS: pKd 5.4721 idéntico a Sfcnn_2016_test.csv de los autores y 74 poses de docking iguales a test/output2 (dif. máx 0.0007). build_model() carga los pesos desde la carpeta actual. Eaves et al. reproducen PCC 0.789. Plugin: plugins/sfcnn</t>
        </is>
      </c>
    </row>
    <row r="9" ht="15" customHeight="1" s="17">
      <c r="A9" s="27" t="n">
        <v>1</v>
      </c>
      <c r="B9" s="27" t="n">
        <v>5</v>
      </c>
      <c r="C9" s="27" t="inlineStr">
        <is>
          <t>PLANET</t>
        </is>
      </c>
      <c r="D9" s="27" t="inlineStr">
        <is>
          <t>PLANET.param en el repo</t>
        </is>
      </c>
      <c r="E9" s="27" t="inlineStr">
        <is>
          <t>PyTorch + RDKit</t>
        </is>
      </c>
      <c r="F9" s="28" t="n"/>
      <c r="G9" s="28" t="n"/>
      <c r="H9" s="30" t="n"/>
      <c r="I9" s="30" t="n"/>
      <c r="J9" s="31">
        <f>IF(AND(ISNUMBER(H9),ISNUMBER(I9)),H9-I9,"")</f>
        <v/>
      </c>
      <c r="K9" s="28" t="n"/>
    </row>
    <row r="10" ht="15" customHeight="1" s="17">
      <c r="A10" s="27" t="n">
        <v>1</v>
      </c>
      <c r="B10" s="27" t="n">
        <v>6</v>
      </c>
      <c r="C10" s="27" t="inlineStr">
        <is>
          <t>egGNN</t>
        </is>
      </c>
      <c r="D10" s="27" t="inlineStr">
        <is>
          <t>Checkpoint en el repo</t>
        </is>
      </c>
      <c r="E10" s="27" t="inlineStr">
        <is>
          <t>SMILES + PDB</t>
        </is>
      </c>
      <c r="F10" s="28" t="n"/>
      <c r="G10" s="28" t="n"/>
      <c r="H10" s="30" t="n"/>
      <c r="I10" s="30" t="n"/>
      <c r="J10" s="31">
        <f>IF(AND(ISNUMBER(H10),ISNUMBER(I10)),H10-I10,"")</f>
        <v/>
      </c>
      <c r="K10" s="28" t="n"/>
    </row>
    <row r="11" ht="15" customHeight="1" s="17">
      <c r="A11" s="27" t="n">
        <v>1</v>
      </c>
      <c r="B11" s="27" t="n">
        <v>7</v>
      </c>
      <c r="C11" s="27" t="inlineStr">
        <is>
          <t>GIGN</t>
        </is>
      </c>
      <c r="D11" s="27" t="inlineStr">
        <is>
          <t>Pesos en el repo</t>
        </is>
      </c>
      <c r="E11" s="27" t="inlineStr">
        <is>
          <t>PyTorch</t>
        </is>
      </c>
      <c r="F11" s="28" t="n"/>
      <c r="G11" s="28" t="n"/>
      <c r="H11" s="30" t="n"/>
      <c r="I11" s="30" t="n"/>
      <c r="J11" s="31">
        <f>IF(AND(ISNUMBER(H11),ISNUMBER(I11)),H11-I11,"")</f>
        <v/>
      </c>
      <c r="K11" s="28" t="n"/>
    </row>
    <row r="12" ht="15" customHeight="1" s="17">
      <c r="A12" s="27" t="n">
        <v>1</v>
      </c>
      <c r="B12" s="27" t="n">
        <v>8</v>
      </c>
      <c r="C12" s="27" t="inlineStr">
        <is>
          <t>EHIGN-PLA</t>
        </is>
      </c>
      <c r="D12" s="27" t="inlineStr">
        <is>
          <t>Pesos en el repo</t>
        </is>
      </c>
      <c r="E12" s="27" t="inlineStr">
        <is>
          <t>Mismo entorno que GIGN</t>
        </is>
      </c>
      <c r="F12" s="28" t="n"/>
      <c r="G12" s="28" t="n"/>
      <c r="H12" s="30" t="n"/>
      <c r="I12" s="30" t="n"/>
      <c r="J12" s="31">
        <f>IF(AND(ISNUMBER(H12),ISNUMBER(I12)),H12-I12,"")</f>
        <v/>
      </c>
      <c r="K12" s="28" t="n"/>
    </row>
    <row r="13" ht="15" customHeight="1" s="17">
      <c r="A13" s="27" t="n">
        <v>1</v>
      </c>
      <c r="B13" s="27" t="n">
        <v>9</v>
      </c>
      <c r="C13" s="27" t="inlineStr">
        <is>
          <t>saCNN</t>
        </is>
      </c>
      <c r="D13" s="27" t="inlineStr">
        <is>
          <t>Pesos en el repo</t>
        </is>
      </c>
      <c r="E13" s="27" t="inlineStr">
        <is>
          <t>moleculekit</t>
        </is>
      </c>
      <c r="F13" s="28" t="n"/>
      <c r="G13" s="28" t="n"/>
      <c r="H13" s="30" t="n"/>
      <c r="I13" s="30" t="n"/>
      <c r="J13" s="31">
        <f>IF(AND(ISNUMBER(H13),ISNUMBER(I13)),H13-I13,"")</f>
        <v/>
      </c>
      <c r="K13" s="28" t="n"/>
    </row>
    <row r="14" ht="15" customHeight="1" s="17">
      <c r="A14" s="27" t="n">
        <v>1</v>
      </c>
      <c r="B14" s="27" t="n">
        <v>10</v>
      </c>
      <c r="C14" s="27" t="inlineStr">
        <is>
          <t>DEAttentionDTA</t>
        </is>
      </c>
      <c r="D14" s="27" t="inlineStr">
        <is>
          <t>Pesos en el repo</t>
        </is>
      </c>
      <c r="E14" s="27" t="inlineStr">
        <is>
          <t>Solo secuencias</t>
        </is>
      </c>
      <c r="F14" s="28" t="n"/>
      <c r="G14" s="28" t="n"/>
      <c r="H14" s="30" t="n"/>
      <c r="I14" s="30" t="n"/>
      <c r="J14" s="31">
        <f>IF(AND(ISNUMBER(H14),ISNUMBER(I14)),H14-I14,"")</f>
        <v/>
      </c>
      <c r="K14" s="28" t="n"/>
    </row>
    <row r="15" ht="15" customHeight="1" s="17">
      <c r="A15" s="27" t="n">
        <v>2</v>
      </c>
      <c r="B15" s="27" t="n">
        <v>1</v>
      </c>
      <c r="C15" s="27" t="inlineStr">
        <is>
          <t>DeepBindGCN</t>
        </is>
      </c>
      <c r="D15" s="27" t="inlineStr">
        <is>
          <t>Release de GitHub</t>
        </is>
      </c>
      <c r="E15" s="27" t="n"/>
      <c r="F15" s="28" t="n"/>
      <c r="G15" s="28" t="n"/>
      <c r="H15" s="30" t="n"/>
      <c r="I15" s="30" t="n"/>
      <c r="J15" s="31">
        <f>IF(AND(ISNUMBER(H15),ISNUMBER(I15)),H15-I15,"")</f>
        <v/>
      </c>
      <c r="K15" s="28" t="n"/>
    </row>
    <row r="16" ht="15" customHeight="1" s="17">
      <c r="A16" s="27" t="n">
        <v>2</v>
      </c>
      <c r="B16" s="27" t="n">
        <v>2</v>
      </c>
      <c r="C16" s="27" t="inlineStr">
        <is>
          <t>HAC-Net</t>
        </is>
      </c>
      <c r="D16" s="27" t="inlineStr">
        <is>
          <t>pip HACNet</t>
        </is>
      </c>
      <c r="E16" s="27" t="n"/>
      <c r="F16" s="28" t="n"/>
      <c r="G16" s="28" t="n"/>
      <c r="H16" s="30" t="n"/>
      <c r="I16" s="30" t="n"/>
      <c r="J16" s="31">
        <f>IF(AND(ISNUMBER(H16),ISNUMBER(I16)),H16-I16,"")</f>
        <v/>
      </c>
      <c r="K16" s="28" t="n"/>
    </row>
    <row r="17" ht="15" customHeight="1" s="17">
      <c r="A17" s="27" t="n">
        <v>2</v>
      </c>
      <c r="B17" s="27" t="n">
        <v>3</v>
      </c>
      <c r="C17" s="27" t="inlineStr">
        <is>
          <t>delta_LinF9_XGB</t>
        </is>
      </c>
      <c r="D17" s="27" t="inlineStr">
        <is>
          <t>En el repo</t>
        </is>
      </c>
      <c r="E17" s="27" t="inlineStr">
        <is>
          <t>Docker (MGLTools/MSMS)</t>
        </is>
      </c>
      <c r="F17" s="28" t="n"/>
      <c r="G17" s="28" t="n"/>
      <c r="H17" s="30" t="n"/>
      <c r="I17" s="30" t="n"/>
      <c r="J17" s="31">
        <f>IF(AND(ISNUMBER(H17),ISNUMBER(I17)),H17-I17,"")</f>
        <v/>
      </c>
      <c r="K17" s="28" t="n"/>
    </row>
    <row r="18" ht="15" customHeight="1" s="17">
      <c r="A18" s="27" t="n">
        <v>2</v>
      </c>
      <c r="B18" s="27" t="n">
        <v>4</v>
      </c>
      <c r="C18" s="27" t="inlineStr">
        <is>
          <t>GraphscoreDTA</t>
        </is>
      </c>
      <c r="D18" s="27" t="inlineStr">
        <is>
          <t>En el repo</t>
        </is>
      </c>
      <c r="E18" s="27" t="inlineStr">
        <is>
          <t>Calcular términos Vina</t>
        </is>
      </c>
      <c r="F18" s="28" t="n"/>
      <c r="G18" s="28" t="n"/>
      <c r="H18" s="30" t="n"/>
      <c r="I18" s="30" t="n"/>
      <c r="J18" s="31">
        <f>IF(AND(ISNUMBER(H18),ISNUMBER(I18)),H18-I18,"")</f>
        <v/>
      </c>
      <c r="K18" s="28" t="n"/>
    </row>
    <row r="19" ht="15" customHeight="1" s="17">
      <c r="A19" s="27" t="n">
        <v>2</v>
      </c>
      <c r="B19" s="27" t="n">
        <v>5</v>
      </c>
      <c r="C19" s="27" t="inlineStr">
        <is>
          <t>IGModel</t>
        </is>
      </c>
      <c r="D19" s="27" t="inlineStr">
        <is>
          <t>En el repo</t>
        </is>
      </c>
      <c r="E19" s="27" t="inlineStr">
        <is>
          <t>DGL</t>
        </is>
      </c>
      <c r="F19" s="28" t="n"/>
      <c r="G19" s="28" t="n"/>
      <c r="H19" s="30" t="n"/>
      <c r="I19" s="30" t="n"/>
      <c r="J19" s="31">
        <f>IF(AND(ISNUMBER(H19),ISNUMBER(I19)),H19-I19,"")</f>
        <v/>
      </c>
      <c r="K19" s="28" t="n"/>
    </row>
    <row r="20" ht="15" customHeight="1" s="17">
      <c r="A20" s="27" t="n">
        <v>2</v>
      </c>
      <c r="B20" s="27" t="n">
        <v>6</v>
      </c>
      <c r="C20" s="27" t="inlineStr">
        <is>
          <t>ConBAP</t>
        </is>
      </c>
      <c r="D20" s="27" t="inlineStr">
        <is>
          <t>En el repo</t>
        </is>
      </c>
      <c r="E20" s="27" t="inlineStr">
        <is>
          <t>GVP, PyMOL</t>
        </is>
      </c>
      <c r="F20" s="28" t="n"/>
      <c r="G20" s="28" t="n"/>
      <c r="H20" s="30" t="n"/>
      <c r="I20" s="30" t="n"/>
      <c r="J20" s="31">
        <f>IF(AND(ISNUMBER(H20),ISNUMBER(I20)),H20-I20,"")</f>
        <v/>
      </c>
      <c r="K20" s="28" t="n"/>
    </row>
    <row r="21" ht="15" customHeight="1" s="17">
      <c r="A21" s="27" t="n">
        <v>2</v>
      </c>
      <c r="B21" s="27" t="n">
        <v>7</v>
      </c>
      <c r="C21" s="27" t="inlineStr">
        <is>
          <t>CPIScore</t>
        </is>
      </c>
      <c r="D21" s="27" t="inlineStr">
        <is>
          <t>En el repo</t>
        </is>
      </c>
      <c r="E21" s="27" t="inlineStr">
        <is>
          <t>Sin instrucciones de uso</t>
        </is>
      </c>
      <c r="F21" s="28" t="n"/>
      <c r="G21" s="28" t="n"/>
      <c r="H21" s="30" t="n"/>
      <c r="I21" s="30" t="n"/>
      <c r="J21" s="31">
        <f>IF(AND(ISNUMBER(H21),ISNUMBER(I21)),H21-I21,"")</f>
        <v/>
      </c>
      <c r="K21" s="28" t="n"/>
    </row>
    <row r="22" ht="15" customHeight="1" s="17">
      <c r="A22" s="27" t="n">
        <v>3</v>
      </c>
      <c r="B22" s="27" t="n">
        <v>1</v>
      </c>
      <c r="C22" s="27" t="inlineStr">
        <is>
          <t>PointNet</t>
        </is>
      </c>
      <c r="D22" s="27" t="n"/>
      <c r="E22" s="27" t="inlineStr">
        <is>
          <t>GPU / descargas grandes</t>
        </is>
      </c>
      <c r="F22" s="28" t="n"/>
      <c r="G22" s="28" t="n"/>
      <c r="H22" s="30" t="n"/>
      <c r="I22" s="30" t="n"/>
      <c r="J22" s="31">
        <f>IF(AND(ISNUMBER(H22),ISNUMBER(I22)),H22-I22,"")</f>
        <v/>
      </c>
      <c r="K22" s="28" t="n"/>
    </row>
    <row r="23" ht="15" customHeight="1" s="17">
      <c r="A23" s="27" t="n">
        <v>3</v>
      </c>
      <c r="B23" s="27" t="n">
        <v>2</v>
      </c>
      <c r="C23" s="27" t="inlineStr">
        <is>
          <t>PIGNet2</t>
        </is>
      </c>
      <c r="D23" s="27" t="n"/>
      <c r="E23" s="27" t="inlineStr">
        <is>
          <t>GPU</t>
        </is>
      </c>
      <c r="F23" s="28" t="n"/>
      <c r="G23" s="28" t="n"/>
      <c r="H23" s="30" t="n"/>
      <c r="I23" s="30" t="n"/>
      <c r="J23" s="31">
        <f>IF(AND(ISNUMBER(H23),ISNUMBER(I23)),H23-I23,"")</f>
        <v/>
      </c>
      <c r="K23" s="28" t="n"/>
    </row>
    <row r="24" ht="15" customHeight="1" s="17">
      <c r="A24" s="27" t="n">
        <v>3</v>
      </c>
      <c r="B24" s="27" t="n">
        <v>3</v>
      </c>
      <c r="C24" s="27" t="inlineStr">
        <is>
          <t>Dynaformer</t>
        </is>
      </c>
      <c r="D24" s="27" t="n"/>
      <c r="E24" s="27" t="inlineStr">
        <is>
          <t>GPU</t>
        </is>
      </c>
      <c r="F24" s="28" t="n"/>
      <c r="G24" s="28" t="n"/>
      <c r="H24" s="30" t="n"/>
      <c r="I24" s="30" t="n"/>
      <c r="J24" s="31">
        <f>IF(AND(ISNUMBER(H24),ISNUMBER(I24)),H24-I24,"")</f>
        <v/>
      </c>
      <c r="K24" s="28" t="n"/>
    </row>
    <row r="25" ht="15" customHeight="1" s="17">
      <c r="A25" s="27" t="n">
        <v>3</v>
      </c>
      <c r="B25" s="27" t="n">
        <v>4</v>
      </c>
      <c r="C25" s="27" t="inlineStr">
        <is>
          <t>TopoFormer</t>
        </is>
      </c>
      <c r="D25" s="27" t="n"/>
      <c r="E25" s="27" t="inlineStr">
        <is>
          <t>GPU / descargas grandes</t>
        </is>
      </c>
      <c r="F25" s="28" t="n"/>
      <c r="G25" s="28" t="n"/>
      <c r="H25" s="30" t="n"/>
      <c r="I25" s="30" t="n"/>
      <c r="J25" s="31">
        <f>IF(AND(ISNUMBER(H25),ISNUMBER(I25)),H25-I25,"")</f>
        <v/>
      </c>
      <c r="K25" s="28" t="n"/>
    </row>
    <row r="26" ht="15" customHeight="1" s="17">
      <c r="A26" s="27" t="n">
        <v>3</v>
      </c>
      <c r="B26" s="27" t="n">
        <v>5</v>
      </c>
      <c r="C26" s="27" t="inlineStr">
        <is>
          <t>BAPA</t>
        </is>
      </c>
      <c r="D26" s="27" t="n"/>
      <c r="E26" s="27" t="inlineStr">
        <is>
          <t>TensorFlow 1.12</t>
        </is>
      </c>
      <c r="F26" s="28" t="n"/>
      <c r="G26" s="28" t="n"/>
      <c r="H26" s="30" t="n"/>
      <c r="I26" s="30" t="n"/>
      <c r="J26" s="31">
        <f>IF(AND(ISNUMBER(H26),ISNUMBER(I26)),H26-I26,"")</f>
        <v/>
      </c>
      <c r="K26" s="28" t="n"/>
    </row>
    <row r="27" ht="15" customHeight="1" s="17">
      <c r="A27" s="27" t="n">
        <v>3</v>
      </c>
      <c r="B27" s="27" t="n">
        <v>6</v>
      </c>
      <c r="C27" s="27" t="inlineStr">
        <is>
          <t>CGraphDTA</t>
        </is>
      </c>
      <c r="D27" s="27" t="n"/>
      <c r="E27" s="27" t="inlineStr">
        <is>
          <t>Bases HHblits/BLAST</t>
        </is>
      </c>
      <c r="F27" s="28" t="n"/>
      <c r="G27" s="28" t="n"/>
      <c r="H27" s="30" t="n"/>
      <c r="I27" s="30" t="n"/>
      <c r="J27" s="31">
        <f>IF(AND(ISNUMBER(H27),ISNUMBER(I27)),H27-I27,"")</f>
        <v/>
      </c>
      <c r="K27" s="28" t="n"/>
    </row>
    <row r="28" ht="15" customHeight="1" s="17">
      <c r="A28" s="27" t="n">
        <v>3</v>
      </c>
      <c r="B28" s="27" t="n">
        <v>7</v>
      </c>
      <c r="C28" s="27" t="inlineStr">
        <is>
          <t>EGNA</t>
        </is>
      </c>
      <c r="D28" s="27" t="n"/>
      <c r="E28" s="27" t="inlineStr">
        <is>
          <t>Bases HHblits/BLAST</t>
        </is>
      </c>
      <c r="F28" s="28" t="n"/>
      <c r="G28" s="28" t="n"/>
      <c r="H28" s="30" t="n"/>
      <c r="I28" s="30" t="n"/>
      <c r="J28" s="31">
        <f>IF(AND(ISNUMBER(H28),ISNUMBER(I28)),H28-I28,"")</f>
        <v/>
      </c>
      <c r="K28" s="28" t="n"/>
    </row>
    <row r="29" ht="15" customHeight="1" s="17">
      <c r="A29" s="27" t="n">
        <v>3</v>
      </c>
      <c r="B29" s="27" t="n">
        <v>8</v>
      </c>
      <c r="C29" s="27" t="inlineStr">
        <is>
          <t>HydraScreen</t>
        </is>
      </c>
      <c r="D29" s="27" t="inlineStr">
        <is>
          <t>API con registro</t>
        </is>
      </c>
      <c r="E29" s="27" t="n"/>
      <c r="F29" s="28" t="n"/>
      <c r="G29" s="28" t="n"/>
      <c r="H29" s="30" t="n"/>
      <c r="I29" s="30" t="n"/>
      <c r="J29" s="31">
        <f>IF(AND(ISNUMBER(H29),ISNUMBER(I29)),H29-I29,"")</f>
        <v/>
      </c>
      <c r="K29" s="28" t="n"/>
    </row>
    <row r="30" ht="15" customHeight="1" s="17">
      <c r="A30" s="27" t="n">
        <v>3</v>
      </c>
      <c r="B30" s="27" t="n">
        <v>9</v>
      </c>
      <c r="C30" s="27" t="inlineStr">
        <is>
          <t>RFL-Score</t>
        </is>
      </c>
      <c r="D30" s="27" t="n"/>
      <c r="E30" s="27" t="inlineStr">
        <is>
          <t>Muchas herramientas</t>
        </is>
      </c>
      <c r="F30" s="28" t="n"/>
      <c r="G30" s="28" t="n"/>
      <c r="H30" s="30" t="n"/>
      <c r="I30" s="30" t="n"/>
      <c r="J30" s="31">
        <f>IF(AND(ISNUMBER(H30),ISNUMBER(I30)),H30-I30,"")</f>
        <v/>
      </c>
      <c r="K30" s="28" t="n"/>
    </row>
    <row r="31" ht="15" customHeight="1" s="17">
      <c r="A31" s="27" t="n">
        <v>3</v>
      </c>
      <c r="B31" s="27" t="n">
        <v>10</v>
      </c>
      <c r="C31" s="27" t="inlineStr">
        <is>
          <t>P3-Score</t>
        </is>
      </c>
      <c r="D31" s="27" t="n"/>
      <c r="E31" s="27" t="inlineStr">
        <is>
          <t>Licencia de X-Score</t>
        </is>
      </c>
      <c r="F31" s="28" t="n"/>
      <c r="G31" s="28" t="n"/>
      <c r="H31" s="30" t="n"/>
      <c r="I31" s="30" t="n"/>
      <c r="J31" s="31">
        <f>IF(AND(ISNUMBER(H31),ISNUMBER(I31)),H31-I31,"")</f>
        <v/>
      </c>
      <c r="K31" s="28" t="n"/>
    </row>
    <row r="33" ht="15" customHeight="1" s="17">
      <c r="A33" s="26" t="inlineStr">
        <is>
          <t>Descartadas (sin modelo entrenado): ECIF, MSECIF, Dowker, PerSpect ML, PPS-ML, EISA-Score, GGL-Score, MP-GNN, LGN, FGNN, MFE, MM-DRPNet, DeepTGIN, HaPPy, IMCPiDB-Score, GIaNt, CurvAGN, GCNN01, SMPLIP-Score, aescore.</t>
        </is>
      </c>
    </row>
  </sheetData>
  <autoFilter ref="A4:K31"/>
  <conditionalFormatting sqref="F5:G31">
    <cfRule type="cellIs" rank="0" priority="2" equalAverage="0" operator="equal" aboveAverage="0" dxfId="7" text="" percent="0" bottom="0">
      <formula>"Sí"</formula>
    </cfRule>
    <cfRule type="cellIs" rank="0" priority="3" equalAverage="0" operator="equal" aboveAverage="0" dxfId="10" text="" percent="0" bottom="0">
      <formula>"No"</formula>
    </cfRule>
    <cfRule type="cellIs" rank="0" priority="4" equalAverage="0" operator="equal" aboveAverage="0" dxfId="8" text="" percent="0" bottom="0">
      <formula>"Parcial"</formula>
    </cfRule>
  </conditionalFormatting>
  <dataValidations count="1">
    <dataValidation sqref="F5:G31" showDropDown="0" showInputMessage="0" showErrorMessage="0" allowBlank="1" type="list" errorStyle="stop" operator="between">
      <formula1>"Sí,No,Parcial"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2026-10-19T14:06:18Z</dcterms:created>
  <dcterms:modified xmlns:dcterms="http://purl.org/dc/terms/" xmlns:xsi="http://www.w3.org/2001/XMLSchema-instance" xsi:type="dcterms:W3CDTF">2026-10-20T01:15:25Z</dcterms:modified>
  <cp:revision>0</cp:revision>
</cp:coreProperties>
</file>