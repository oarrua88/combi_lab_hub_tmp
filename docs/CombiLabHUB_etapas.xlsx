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COUNTIF(Etapas!$B$5:$B$34,A4)</f>
        <v/>
      </c>
      <c r="C4" s="20">
        <f>COUNTIFS(Etapas!$B$5:$B$34,A4,Etapas!$F$5:$F$34,"Completada")</f>
        <v/>
      </c>
      <c r="D4" s="20">
        <f>COUNTIFS(Etapas!$B$5:$B$34,A4,Etapas!$F$5:$F$34,"En progreso")</f>
        <v/>
      </c>
      <c r="E4" s="20">
        <f>COUNTIFS(Etapas!$B$5:$B$34,A4,Etapas!$F$5:$F$34,"Pendiente")</f>
        <v/>
      </c>
      <c r="F4" s="21">
        <f>IF(B4=0,0,C4/B4)</f>
        <v/>
      </c>
    </row>
    <row r="5" ht="15" customHeight="1" s="17">
      <c r="A5" s="20" t="inlineStr">
        <is>
          <t>1. Relevamiento de SF</t>
        </is>
      </c>
      <c r="B5" s="20">
        <f>COUNTIF(Etapas!$B$5:$B$34,A5)</f>
        <v/>
      </c>
      <c r="C5" s="20">
        <f>COUNTIFS(Etapas!$B$5:$B$34,A5,Etapas!$F$5:$F$34,"Completada")</f>
        <v/>
      </c>
      <c r="D5" s="20">
        <f>COUNTIFS(Etapas!$B$5:$B$34,A5,Etapas!$F$5:$F$34,"En progreso")</f>
        <v/>
      </c>
      <c r="E5" s="20">
        <f>COUNTIFS(Etapas!$B$5:$B$34,A5,Etapas!$F$5:$F$34,"Pendiente")</f>
        <v/>
      </c>
      <c r="F5" s="21">
        <f>IF(B5=0,0,C5/B5)</f>
        <v/>
      </c>
    </row>
    <row r="6" ht="15" customHeight="1" s="17">
      <c r="A6" s="20" t="inlineStr">
        <is>
          <t>2. Descarga de código</t>
        </is>
      </c>
      <c r="B6" s="20">
        <f>COUNTIF(Etapas!$B$5:$B$34,A6)</f>
        <v/>
      </c>
      <c r="C6" s="20">
        <f>COUNTIFS(Etapas!$B$5:$B$34,A6,Etapas!$F$5:$F$34,"Completada")</f>
        <v/>
      </c>
      <c r="D6" s="20">
        <f>COUNTIFS(Etapas!$B$5:$B$34,A6,Etapas!$F$5:$F$34,"En progreso")</f>
        <v/>
      </c>
      <c r="E6" s="20">
        <f>COUNTIFS(Etapas!$B$5:$B$34,A6,Etapas!$F$5:$F$34,"Pendiente")</f>
        <v/>
      </c>
      <c r="F6" s="21">
        <f>IF(B6=0,0,C6/B6)</f>
        <v/>
      </c>
    </row>
    <row r="7" ht="15" customHeight="1" s="17">
      <c r="A7" s="20" t="inlineStr">
        <is>
          <t>3. Ranking para probar sin reentrenar</t>
        </is>
      </c>
      <c r="B7" s="20">
        <f>COUNTIF(Etapas!$B$5:$B$34,A7)</f>
        <v/>
      </c>
      <c r="C7" s="20">
        <f>COUNTIFS(Etapas!$B$5:$B$34,A7,Etapas!$F$5:$F$34,"Completada")</f>
        <v/>
      </c>
      <c r="D7" s="20">
        <f>COUNTIFS(Etapas!$B$5:$B$34,A7,Etapas!$F$5:$F$34,"En progreso")</f>
        <v/>
      </c>
      <c r="E7" s="20">
        <f>COUNTIFS(Etapas!$B$5:$B$34,A7,Etapas!$F$5:$F$34,"Pendiente")</f>
        <v/>
      </c>
      <c r="F7" s="21">
        <f>IF(B7=0,0,C7/B7)</f>
        <v/>
      </c>
    </row>
    <row r="8" ht="15" customHeight="1" s="17">
      <c r="A8" s="20" t="inlineStr">
        <is>
          <t>4. Framework CombiLabHUB</t>
        </is>
      </c>
      <c r="B8" s="20">
        <f>COUNTIF(Etapas!$B$5:$B$34,A8)</f>
        <v/>
      </c>
      <c r="C8" s="20">
        <f>COUNTIFS(Etapas!$B$5:$B$34,A8,Etapas!$F$5:$F$34,"Completada")</f>
        <v/>
      </c>
      <c r="D8" s="20">
        <f>COUNTIFS(Etapas!$B$5:$B$34,A8,Etapas!$F$5:$F$34,"En progreso")</f>
        <v/>
      </c>
      <c r="E8" s="20">
        <f>COUNTIFS(Etapas!$B$5:$B$34,A8,Etapas!$F$5:$F$34,"Pendiente")</f>
        <v/>
      </c>
      <c r="F8" s="21">
        <f>IF(B8=0,0,C8/B8)</f>
        <v/>
      </c>
    </row>
    <row r="9" ht="15" customHeight="1" s="17">
      <c r="A9" s="20" t="inlineStr">
        <is>
          <t>5. Pruebas Nivel 1 (CPU, modelo listo)</t>
        </is>
      </c>
      <c r="B9" s="20">
        <f>COUNTIF(Etapas!$B$5:$B$34,A9)</f>
        <v/>
      </c>
      <c r="C9" s="20">
        <f>COUNTIFS(Etapas!$B$5:$B$34,A9,Etapas!$F$5:$F$34,"Completada")</f>
        <v/>
      </c>
      <c r="D9" s="20">
        <f>COUNTIFS(Etapas!$B$5:$B$34,A9,Etapas!$F$5:$F$34,"En progreso")</f>
        <v/>
      </c>
      <c r="E9" s="20">
        <f>COUNTIFS(Etapas!$B$5:$B$34,A9,Etapas!$F$5:$F$34,"Pendiente")</f>
        <v/>
      </c>
      <c r="F9" s="21">
        <f>IF(B9=0,0,C9/B9)</f>
        <v/>
      </c>
    </row>
    <row r="10" ht="15" customHeight="1" s="17">
      <c r="A10" s="20" t="inlineStr">
        <is>
          <t>6. Pruebas Nivel 2 (pasos extra)</t>
        </is>
      </c>
      <c r="B10" s="20">
        <f>COUNTIF(Etapas!$B$5:$B$34,A10)</f>
        <v/>
      </c>
      <c r="C10" s="20">
        <f>COUNTIFS(Etapas!$B$5:$B$34,A10,Etapas!$F$5:$F$34,"Completada")</f>
        <v/>
      </c>
      <c r="D10" s="20">
        <f>COUNTIFS(Etapas!$B$5:$B$34,A10,Etapas!$F$5:$F$34,"En progreso")</f>
        <v/>
      </c>
      <c r="E10" s="20">
        <f>COUNTIFS(Etapas!$B$5:$B$34,A10,Etapas!$F$5:$F$34,"Pendiente")</f>
        <v/>
      </c>
      <c r="F10" s="21">
        <f>IF(B10=0,0,C10/B10)</f>
        <v/>
      </c>
    </row>
    <row r="11" ht="15" customHeight="1" s="17">
      <c r="A11" s="20" t="inlineStr">
        <is>
          <t>7. Pruebas Nivel 3 (pesadas/complicadas)</t>
        </is>
      </c>
      <c r="B11" s="20">
        <f>COUNTIF(Etapas!$B$5:$B$34,A11)</f>
        <v/>
      </c>
      <c r="C11" s="20">
        <f>COUNTIFS(Etapas!$B$5:$B$34,A11,Etapas!$F$5:$F$34,"Completada")</f>
        <v/>
      </c>
      <c r="D11" s="20">
        <f>COUNTIFS(Etapas!$B$5:$B$34,A11,Etapas!$F$5:$F$34,"En progreso")</f>
        <v/>
      </c>
      <c r="E11" s="20">
        <f>COUNTIFS(Etapas!$B$5:$B$34,A11,Etapas!$F$5:$F$34,"Pendiente")</f>
        <v/>
      </c>
      <c r="F11" s="21">
        <f>IF(B11=0,0,C11/B11)</f>
        <v/>
      </c>
    </row>
    <row r="12" ht="15" customHeight="1" s="17">
      <c r="A12" s="20" t="inlineStr">
        <is>
          <t>8. Evaluación en CASF-2016</t>
        </is>
      </c>
      <c r="B12" s="20">
        <f>COUNTIF(Etapas!$B$5:$B$34,A12)</f>
        <v/>
      </c>
      <c r="C12" s="20">
        <f>COUNTIFS(Etapas!$B$5:$B$34,A12,Etapas!$F$5:$F$34,"Completada")</f>
        <v/>
      </c>
      <c r="D12" s="20">
        <f>COUNTIFS(Etapas!$B$5:$B$34,A12,Etapas!$F$5:$F$34,"En progreso")</f>
        <v/>
      </c>
      <c r="E12" s="20">
        <f>COUNTIFS(Etapas!$B$5:$B$34,A12,Etapas!$F$5:$F$34,"Pendiente")</f>
        <v/>
      </c>
      <c r="F12" s="21">
        <f>IF(B12=0,0,C12/B12)</f>
        <v/>
      </c>
    </row>
    <row r="13" ht="15" customHeight="1" s="17">
      <c r="A13" s="20" t="inlineStr">
        <is>
          <t>9. Interfaz</t>
        </is>
      </c>
      <c r="B13" s="20">
        <f>COUNTIF(Etapas!$B$5:$B$34,A13)</f>
        <v/>
      </c>
      <c r="C13" s="20">
        <f>COUNTIFS(Etapas!$B$5:$B$34,A13,Etapas!$F$5:$F$34,"Completada")</f>
        <v/>
      </c>
      <c r="D13" s="20">
        <f>COUNTIFS(Etapas!$B$5:$B$34,A13,Etapas!$F$5:$F$34,"En progreso")</f>
        <v/>
      </c>
      <c r="E13" s="20">
        <f>COUNTIFS(Etapas!$B$5:$B$34,A13,Etapas!$F$5:$F$34,"Pendiente")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 | 21/10/2026: Docker Desktop 4.96.1 + WSL 2 instalados (necesarios para delta_LinF9_XGB y SF solo-Linux)</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RFL-Score, P3-Score</t>
        </is>
      </c>
      <c r="E30" s="27" t="inlineStr">
        <is>
          <t>6.1, 0.2</t>
        </is>
      </c>
      <c r="F30" s="28" t="inlineStr">
        <is>
          <t>Pendiente</t>
        </is>
      </c>
      <c r="G30" s="28" t="n"/>
      <c r="H30" s="29" t="n"/>
      <c r="I30" s="29" t="n"/>
      <c r="J30" s="28" t="inlineStr">
        <is>
          <t>GPU, licencias (X-Score) o API (HydraScreen)</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row>
    <row r="15" ht="15" customHeight="1" s="17">
      <c r="A15" s="27" t="n">
        <v>2</v>
      </c>
      <c r="B15" s="27" t="n">
        <v>1</v>
      </c>
      <c r="C15" s="27" t="inlineStr">
        <is>
          <t>DeepBindGCN</t>
        </is>
      </c>
      <c r="D15" s="27" t="inlineStr">
        <is>
          <t>GitHub release v1.0.0: full_model_out2000_RG.model (MD5 aaa69454…)</t>
        </is>
      </c>
      <c r="E15" s="27" t="inlineStr">
        <is>
          <t>PyTorch 2.2 + PyG 2.5.3 + RDKit (Python 3.10)</t>
        </is>
      </c>
      <c r="F15" s="28" t="inlineStr">
        <is>
          <t>Sí</t>
        </is>
      </c>
      <c r="G15" s="28" t="inlineStr">
        <is>
          <t>Sí</t>
        </is>
      </c>
      <c r="H15" s="30" t="n"/>
      <c r="I15" s="30" t="n">
        <v>0.75</v>
      </c>
      <c r="J15" s="31">
        <f>IF(AND(ISNUMBER(H15),ISNUMBER(I15)),H15-I15,"")</f>
        <v/>
      </c>
      <c r="K15"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row>
    <row r="16" ht="15" customHeight="1" s="17">
      <c r="A16" s="27" t="n">
        <v>2</v>
      </c>
      <c r="B16" s="27" t="n">
        <v>2</v>
      </c>
      <c r="C16" s="27" t="inlineStr">
        <is>
          <t>HAC-Net</t>
        </is>
      </c>
      <c r="D16" s="27" t="inlineStr">
        <is>
          <t>HACNet/parameter_files en el repo (4 .pt) + paquete PyPI HACNet 1.4.3</t>
        </is>
      </c>
      <c r="E16" s="27" t="inlineStr">
        <is>
          <t>PyTorch 2.2 + PyG 2.5.3 + Open Babel + PyMOL; cargas EqEq: servicio web ACC2 o ChargeFW2 local (Docker)</t>
        </is>
      </c>
      <c r="F16" s="28" t="inlineStr">
        <is>
          <t>Sí</t>
        </is>
      </c>
      <c r="G16" s="28" t="inlineStr">
        <is>
          <t>Sí</t>
        </is>
      </c>
      <c r="H16" s="30" t="n"/>
      <c r="I16" s="30" t="n">
        <v>0.846</v>
      </c>
      <c r="J16" s="31">
        <f>IF(AND(ISNUMBER(H16),ISNUMBER(I16)),H16-I16,"")</f>
        <v/>
      </c>
      <c r="K16"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row>
    <row r="17" ht="15" customHeight="1" s="17">
      <c r="A17" s="27" t="n">
        <v>2</v>
      </c>
      <c r="B17" s="27" t="n">
        <v>3</v>
      </c>
      <c r="C17" s="27" t="inlineStr">
        <is>
          <t>delta_LinF9_XGB</t>
        </is>
      </c>
      <c r="D17" s="27" t="inlineStr">
        <is>
          <t>saved_model/mod_1..10.pickle.dat en el repo (xgboost 1.2.0)</t>
        </is>
      </c>
      <c r="E17" s="27" t="inlineStr">
        <is>
          <t>Solo Linux: smina (repo), MSMS, MGLTools 1.5.7 (Python 2), AlphaSpace2, xgboost 1.2.0 → en Windows vía Docker/WSL</t>
        </is>
      </c>
      <c r="F17" s="28" t="inlineStr">
        <is>
          <t>Sí</t>
        </is>
      </c>
      <c r="G17" s="28" t="inlineStr">
        <is>
          <t>Sí</t>
        </is>
      </c>
      <c r="H17" s="30" t="n"/>
      <c r="I17" s="30" t="n">
        <v>0.845</v>
      </c>
      <c r="J17" s="31">
        <f>IF(AND(ISNUMBER(H17),ISNUMBER(I17)),H17-I17,"")</f>
        <v/>
      </c>
      <c r="K17"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row>
    <row r="18" ht="15" customHeight="1" s="17">
      <c r="A18" s="27" t="n">
        <v>2</v>
      </c>
      <c r="B18" s="27" t="n">
        <v>4</v>
      </c>
      <c r="C18" s="27" t="inlineStr">
        <is>
          <t>GraphscoreDTA</t>
        </is>
      </c>
      <c r="D18" s="27" t="inlineStr">
        <is>
          <t>model/modelp.pth en el repo + grafos CASF-2016 preparados (release Data, 35 MB)</t>
        </is>
      </c>
      <c r="E18" s="27" t="inlineStr">
        <is>
          <t>PyTorch 2.2 + DGL 2.2.1 (Python 3.10)</t>
        </is>
      </c>
      <c r="F18" s="28" t="inlineStr">
        <is>
          <t>Sí</t>
        </is>
      </c>
      <c r="G18" s="28" t="inlineStr">
        <is>
          <t>Sí</t>
        </is>
      </c>
      <c r="H18" s="30" t="n"/>
      <c r="I18" s="30" t="n">
        <v>0.831</v>
      </c>
      <c r="J18" s="31">
        <f>IF(AND(ISNUMBER(H18),ISNUMBER(I18)),H18-I18,"")</f>
        <v/>
      </c>
      <c r="K18"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row>
    <row r="19" ht="15" customHeight="1" s="17">
      <c r="A19" s="27" t="n">
        <v>2</v>
      </c>
      <c r="B19" s="27" t="n">
        <v>5</v>
      </c>
      <c r="C19" s="27" t="inlineStr">
        <is>
          <t>IGModel</t>
        </is>
      </c>
      <c r="D19" s="27" t="inlineStr">
        <is>
          <t>models/saved_model.pth y self-ref_model.pth en el repo</t>
        </is>
      </c>
      <c r="E19" s="27" t="inlineStr">
        <is>
          <t>PyTorch 2.2 + DGL 2.2.1 + RDKit + Open Babel 3.1.1 + spyrmsd (Python 3.10)</t>
        </is>
      </c>
      <c r="F19" s="28" t="inlineStr">
        <is>
          <t>Sí</t>
        </is>
      </c>
      <c r="G19" s="28" t="inlineStr">
        <is>
          <t>Sí</t>
        </is>
      </c>
      <c r="H19" s="30" t="n"/>
      <c r="I19" s="30" t="n">
        <v>0.831</v>
      </c>
      <c r="J19" s="31">
        <f>IF(AND(ISNUMBER(H19),ISNUMBER(I19)),H19-I19,"")</f>
        <v/>
      </c>
      <c r="K19" s="28" t="inlineStr">
        <is>
          <t>21/10/2026: test PASS: reproduce el notebook de los autores (1bcu, 10 poses, dif. 3e-6); 1a30 = 5.0653 (modo referencia; self-ref 5.4664). El .sdf de 1a30 no lo lee RDKit: usar .mol2. Eaves usa modo self-ref con saved_model.pth. Plugin: plugins/igmodel</t>
        </is>
      </c>
    </row>
    <row r="20" ht="15" customHeight="1" s="17">
      <c r="A20" s="27" t="n">
        <v>2</v>
      </c>
      <c r="B20" s="27" t="n">
        <v>6</v>
      </c>
      <c r="C20" s="27" t="inlineStr">
        <is>
          <t>ConBAP</t>
        </is>
      </c>
      <c r="D20" s="27" t="inlineStr">
        <is>
          <t>modelo contrastivo + cabeza de afinidad repeat0 en el repo</t>
        </is>
      </c>
      <c r="E20" s="27" t="inlineStr">
        <is>
          <t>PyTorch 2.2 + PyG 2.5.3 + torch_scatter/cluster + GVP-GNN + RDKit + PyMOL (Python 3.10)</t>
        </is>
      </c>
      <c r="F20" s="28" t="inlineStr">
        <is>
          <t>Sí</t>
        </is>
      </c>
      <c r="G20" s="28" t="inlineStr">
        <is>
          <t>Sí</t>
        </is>
      </c>
      <c r="H20" s="30" t="n"/>
      <c r="I20" s="30" t="n">
        <v>0.864</v>
      </c>
      <c r="J20" s="31">
        <f>IF(AND(ISNUMBER(H20),ISNUMBER(I20)),H20-I20,"")</f>
        <v/>
      </c>
      <c r="K20"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row>
    <row r="21" ht="15" customHeight="1" s="17">
      <c r="A21" s="27" t="n">
        <v>2</v>
      </c>
      <c r="B21" s="27" t="n">
        <v>7</v>
      </c>
      <c r="C21" s="27" t="inlineStr">
        <is>
          <t>CPIScore</t>
        </is>
      </c>
      <c r="D21" s="27" t="inlineStr">
        <is>
          <t>result/model.pkl (incompleto)</t>
        </is>
      </c>
      <c r="E21" s="27" t="inlineStr">
        <is>
          <t>—</t>
        </is>
      </c>
      <c r="F21" s="28" t="inlineStr">
        <is>
          <t>No</t>
        </is>
      </c>
      <c r="G21" s="28" t="inlineStr">
        <is>
          <t>No</t>
        </is>
      </c>
      <c r="H21" s="30" t="n"/>
      <c r="I21" s="30" t="n">
        <v>0.74</v>
      </c>
      <c r="J21" s="31">
        <f>IF(AND(ISNUMBER(H21),ISNUMBER(I21)),H21-I21,"")</f>
        <v/>
      </c>
      <c r="K21" s="28" t="inlineStr">
        <is>
          <t>21/10/2026: DESCARTADA. Faltan los modelos word2vec (SMILES 256d y proteína 512d) que usan sus features, y la rama Transformer se crea con pesos aleatorios en cada forward (no está en model.pkl): predicciones no reproducibles. Ver plugins/cpiscore/INSTALL.md</t>
        </is>
      </c>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2"/>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1">
    <dataValidation sqref="F5:G31" showDropDown="0" showInputMessage="0" showErrorMessage="0" allowBlank="1" type="list" errorStyle="stop" operator="between">
      <formula1>"Sí,No,Parcial"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2026-10-21T21:34:13Z</dcterms:modified>
  <cp:revision>0</cp:revision>
</cp:coreProperties>
</file>