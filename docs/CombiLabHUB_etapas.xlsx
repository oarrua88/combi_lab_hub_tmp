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tapas" sheetId="2" state="visible" r:id="rId4"/>
    <sheet name="Estado SF" sheetId="3" state="visible" r:id="rId5"/>
  </sheets>
  <definedNames>
    <definedName function="false" hidden="true" localSheetId="2" name="_xlnm._FilterDatabase" vbProcedure="false">'Estado SF'!$A$4:$K$31</definedName>
    <definedName function="false" hidden="true" localSheetId="1" name="_xlnm._FilterDatabase" vbProcedure="false">Etapas!$A$4:$J$33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<sst xmlns="http://schemas.openxmlformats.org/spreadsheetml/2006/main" count="297" uniqueCount="210">
  <si>
    <t xml:space="preserve">CombiLabHUB – Resumen de avance</t>
  </si>
  <si>
    <t xml:space="preserve">Etapa</t>
  </si>
  <si>
    <t xml:space="preserve">Tareas</t>
  </si>
  <si>
    <t xml:space="preserve">Completadas</t>
  </si>
  <si>
    <t xml:space="preserve">En progreso</t>
  </si>
  <si>
    <t xml:space="preserve">Pendientes</t>
  </si>
  <si>
    <t xml:space="preserve">% avance</t>
  </si>
  <si>
    <t xml:space="preserve">0. Preparación del entorno</t>
  </si>
  <si>
    <t xml:space="preserve">1. Relevamiento de SF</t>
  </si>
  <si>
    <t xml:space="preserve">2. Descarga de código</t>
  </si>
  <si>
    <t xml:space="preserve">3. Ranking para probar sin reentrenar</t>
  </si>
  <si>
    <t xml:space="preserve">4. Framework CombiLabHUB</t>
  </si>
  <si>
    <t xml:space="preserve">5. Pruebas Nivel 1 (CPU, modelo listo)</t>
  </si>
  <si>
    <t xml:space="preserve">6. Pruebas Nivel 2 (pasos extra)</t>
  </si>
  <si>
    <t xml:space="preserve">7. Pruebas Nivel 3 (pesadas/complicadas)</t>
  </si>
  <si>
    <t xml:space="preserve">8. Evaluación en CASF-2016</t>
  </si>
  <si>
    <t xml:space="preserve">9. Interfaz</t>
  </si>
  <si>
    <t xml:space="preserve">Total</t>
  </si>
  <si>
    <t xml:space="preserve">Scoring functions</t>
  </si>
  <si>
    <t xml:space="preserve">Nivel</t>
  </si>
  <si>
    <t xml:space="preserve">SF</t>
  </si>
  <si>
    <t xml:space="preserve">Instaladas</t>
  </si>
  <si>
    <t xml:space="preserve">Corren</t>
  </si>
  <si>
    <t xml:space="preserve">Con PCC</t>
  </si>
  <si>
    <t xml:space="preserve">Nivel 1</t>
  </si>
  <si>
    <t xml:space="preserve">Nivel 2</t>
  </si>
  <si>
    <t xml:space="preserve">Nivel 3</t>
  </si>
  <si>
    <t xml:space="preserve">CombiLabHUB – Etapas del proyecto (evaluación de scoring functions en CASF-2016)</t>
  </si>
  <si>
    <t xml:space="preserve">Fuente: MEMORIA_PROYECTO_SF.md y REQUISITOS_PRUEBAS_SF.txt (18/10/2026). Celdas amarillas = para completar (Estado, Responsable, Fechas, Notas).</t>
  </si>
  <si>
    <t xml:space="preserve">ID</t>
  </si>
  <si>
    <t xml:space="preserve">Tarea</t>
  </si>
  <si>
    <t xml:space="preserve">Detalle / entregable</t>
  </si>
  <si>
    <t xml:space="preserve">Depende de</t>
  </si>
  <si>
    <t xml:space="preserve">Estado</t>
  </si>
  <si>
    <t xml:space="preserve">Responsable</t>
  </si>
  <si>
    <t xml:space="preserve">Inicio</t>
  </si>
  <si>
    <t xml:space="preserve">Fin</t>
  </si>
  <si>
    <t xml:space="preserve">Notas</t>
  </si>
  <si>
    <t xml:space="preserve">0.1</t>
  </si>
  <si>
    <t xml:space="preserve">Instalar Miniconda (o Docker Desktop + WSL2)</t>
  </si>
  <si>
    <t xml:space="preserve">Miniconda recomendado; Docker para SF con MGLTools/Chimera/PyMOL</t>
  </si>
  <si>
    <t xml:space="preserve">Completada</t>
  </si>
  <si>
    <t xml:space="preserve">Miniconda instalado en C:\Users\Admin\miniconda3 (conda 26.9.3, Python 3.14.8, solver libmamba incluido)</t>
  </si>
  <si>
    <t xml:space="preserve">0.2</t>
  </si>
  <si>
    <t xml:space="preserve">Informar GPU</t>
  </si>
  <si>
    <t xml:space="preserve">Indicar si hay NVIDIA y modelo (Dynaformer, PIGNet2, HAC-Net la necesitan)</t>
  </si>
  <si>
    <t xml:space="preserve">NVIDIA Quadro P620 (Pascal, 4 GB VRAM, compute 6.1), driver 573.44 + Intel UHD integrada; 31,6 GB RAM. Usar builds de PyTorch cu118/cu126 (las cu128 no soportan Pascal). 4 GB limita a las SF pesadas del Nivel 3</t>
  </si>
  <si>
    <t xml:space="preserve">0.3</t>
  </si>
  <si>
    <t xml:space="preserve">Liberar espacio en disco</t>
  </si>
  <si>
    <t xml:space="preserve">~100 GB, o instalar por tandas y borrar entornos probados</t>
  </si>
  <si>
    <t xml:space="preserve">284 GB libres en el disco (más que los ~100 GB necesarios)</t>
  </si>
  <si>
    <t xml:space="preserve">0.4</t>
  </si>
  <si>
    <t xml:space="preserve">Descargar CASF-2016</t>
  </si>
  <si>
    <t xml:space="preserve">Desde PDBbind (requiere registro); dejarlo en SOFTWARE SF</t>
  </si>
  <si>
    <t xml:space="preserve">Descomprimido en SOFTWARE SF\CASF-2016\CASF-2016 (30.271 archivos verificados contra el .tar.gz; coreset con 285 complejos)</t>
  </si>
  <si>
    <t xml:space="preserve">0.5</t>
  </si>
  <si>
    <t xml:space="preserve">Habilitar dominios (opcional)</t>
  </si>
  <si>
    <t xml:space="preserve">conda.anaconda.org, zenodo.org, figshare.com, drive.google.com, onedrive.live.com</t>
  </si>
  <si>
    <t xml:space="preserve">Verificado 19/10/2026: conda.anaconda.org, zenodo.org, figshare.com, drive.google.com y onedrive.live.com accesibles desde la nube</t>
  </si>
  <si>
    <t xml:space="preserve">1.1</t>
  </si>
  <si>
    <t xml:space="preserve">Extraer tabla de 49 SF del PPTX</t>
  </si>
  <si>
    <t xml:space="preserve">Scoring_functions_descargadas.xlsx (ES/EN/PT)</t>
  </si>
  <si>
    <t xml:space="preserve">1.2</t>
  </si>
  <si>
    <t xml:space="preserve">Investigar 7 columnas extra</t>
  </si>
  <si>
    <t xml:space="preserve">Dataset, tamaño, tipo, algoritmo, descriptores, feature selection, algoritmo de selección + fuente y confianza</t>
  </si>
  <si>
    <t xml:space="preserve">33 Alta, 8 Media, 8 Baja confianza</t>
  </si>
  <si>
    <t xml:space="preserve">2.1</t>
  </si>
  <si>
    <t xml:space="preserve">Descargar repos de las 49 SF</t>
  </si>
  <si>
    <t xml:space="preserve">Funciones_Score_Tabla1/ + INDICE_funciones_score.csv</t>
  </si>
  <si>
    <t xml:space="preserve">2.2</t>
  </si>
  <si>
    <t xml:space="preserve">Descargar SF de Su et al. 2019</t>
  </si>
  <si>
    <t xml:space="preserve">Vina, ΔVinaRF20, vina4dv en Funciones_Score_Su2018/</t>
  </si>
  <si>
    <t xml:space="preserve">2.3</t>
  </si>
  <si>
    <t xml:space="preserve">Pendientes de descarga</t>
  </si>
  <si>
    <t xml:space="preserve">DAAP y LigityScore (GitLab); MSSDTA sin código público</t>
  </si>
  <si>
    <t xml:space="preserve">Pendiente</t>
  </si>
  <si>
    <t xml:space="preserve">2.4</t>
  </si>
  <si>
    <t xml:space="preserve">Verificar et_score.sav en Files.7z</t>
  </si>
  <si>
    <t xml:space="preserve">Confirmar modelo de ET-Score</t>
  </si>
  <si>
    <t xml:space="preserve">3.1</t>
  </si>
  <si>
    <t xml:space="preserve">Clasificar SF por dificultad</t>
  </si>
  <si>
    <t xml:space="preserve">Nivel 1 (10), Nivel 2 (7), Nivel 3 (10), descartadas (20, sin modelo entrenado)</t>
  </si>
  <si>
    <t xml:space="preserve">4.1</t>
  </si>
  <si>
    <t xml:space="preserve">Núcleo CLI + adaptadores Nivel 1</t>
  </si>
  <si>
    <t xml:space="preserve">Borrador en CombiLabHUB_borrador.tar.gz con commits upstream fijados</t>
  </si>
  <si>
    <t xml:space="preserve">Borrador hecho</t>
  </si>
  <si>
    <t xml:space="preserve">4.2</t>
  </si>
  <si>
    <t xml:space="preserve">Repositorio GitHub</t>
  </si>
  <si>
    <t xml:space="preserve">Temporal: oarrua88/combi_lab_hub_tmp; definitivo: combilab-furg/combi_lab_hub</t>
  </si>
  <si>
    <t xml:space="preserve">Esperando permiso al repo de la organización</t>
  </si>
  <si>
    <t xml:space="preserve">4.3</t>
  </si>
  <si>
    <t xml:space="preserve">Subir el borrador al repo</t>
  </si>
  <si>
    <t xml:space="preserve">Descomprimir, git add, primer commit</t>
  </si>
  <si>
    <t xml:space="preserve">4.1, 4.2</t>
  </si>
  <si>
    <t xml:space="preserve">4.4</t>
  </si>
  <si>
    <t xml:space="preserve">Manifest de plugins</t>
  </si>
  <si>
    <t xml:space="preserve">Lista de SF con versión, entorno y commit upstream</t>
  </si>
  <si>
    <t xml:space="preserve">4.5</t>
  </si>
  <si>
    <t xml:space="preserve">environment.yml / Dockerfile por SF</t>
  </si>
  <si>
    <t xml:space="preserve">Un entorno reproducible por plugin</t>
  </si>
  <si>
    <t xml:space="preserve">4.6</t>
  </si>
  <si>
    <t xml:space="preserve">setup.sh</t>
  </si>
  <si>
    <t xml:space="preserve">Script de instalación automatizada</t>
  </si>
  <si>
    <t xml:space="preserve">4.7</t>
  </si>
  <si>
    <t xml:space="preserve">INSTALAR.md por plugin</t>
  </si>
  <si>
    <t xml:space="preserve">Guía de instalación paso a paso</t>
  </si>
  <si>
    <t xml:space="preserve">4.8</t>
  </si>
  <si>
    <t xml:space="preserve">README del proyecto</t>
  </si>
  <si>
    <t xml:space="preserve">Uso del CLI, estructura, cómo agregar una SF</t>
  </si>
  <si>
    <t xml:space="preserve">5.1</t>
  </si>
  <si>
    <t xml:space="preserve">ET-Score y GB-Score</t>
  </si>
  <si>
    <t xml:space="preserve">Mismo entorno scikit-learn; test con 1 complejo + core set CASF-2016</t>
  </si>
  <si>
    <t xml:space="preserve">0.4, 4.5</t>
  </si>
  <si>
    <t xml:space="preserve">Primeras a probar</t>
  </si>
  <si>
    <t xml:space="preserve">5.2</t>
  </si>
  <si>
    <t xml:space="preserve">OnionNet-2 y SFCNN</t>
  </si>
  <si>
    <t xml:space="preserve">TensorFlow CPU (+ OpenBabel en SFCNN)</t>
  </si>
  <si>
    <t xml:space="preserve">5.3</t>
  </si>
  <si>
    <t xml:space="preserve">Resto del Nivel 1</t>
  </si>
  <si>
    <t xml:space="preserve">PLANET, egGNN, GIGN, EHIGN-PLA, saCNN, DEAttentionDTA</t>
  </si>
  <si>
    <t xml:space="preserve">6.1</t>
  </si>
  <si>
    <t xml:space="preserve">SF del Nivel 2</t>
  </si>
  <si>
    <t xml:space="preserve">DeepBindGCN, HAC-Net, delta_LinF9_XGB, GraphscoreDTA, IGModel, ConBAP, CPIScore</t>
  </si>
  <si>
    <t xml:space="preserve">7.1</t>
  </si>
  <si>
    <t xml:space="preserve">SF del Nivel 3</t>
  </si>
  <si>
    <t xml:space="preserve">PointNet, PIGNet2, Dynaformer, TopoFormer, BAPA, CGraphDTA, EGNA, HydraScreen, RFL-Score, P3-Score</t>
  </si>
  <si>
    <t xml:space="preserve">6.1, 0.2</t>
  </si>
  <si>
    <t xml:space="preserve">GPU, licencias (X-Score) o API (HydraScreen)</t>
  </si>
  <si>
    <t xml:space="preserve">8.1</t>
  </si>
  <si>
    <t xml:space="preserve">Calcular PCC por SF</t>
  </si>
  <si>
    <t xml:space="preserve">Comparar PCC obtenido vs. reportado (hoja Estado SF)</t>
  </si>
  <si>
    <t xml:space="preserve">8.2</t>
  </si>
  <si>
    <t xml:space="preserve">Usar versiones corregidas de Eaves et al.</t>
  </si>
  <si>
    <t xml:space="preserve">17 modelos en github.com/jeavesj</t>
  </si>
  <si>
    <t xml:space="preserve">8.3</t>
  </si>
  <si>
    <t xml:space="preserve">Informe comparativo</t>
  </si>
  <si>
    <t xml:space="preserve">Tabla/gráficos de resultados para el laboratorio</t>
  </si>
  <si>
    <t xml:space="preserve">9.1</t>
  </si>
  <si>
    <t xml:space="preserve">Interfaz para ejecutar cada SF</t>
  </si>
  <si>
    <t xml:space="preserve">UI sobre el CLI de CombiLabHUB</t>
  </si>
  <si>
    <t xml:space="preserve">Estado de cada scoring function (solo inferencia, sin reentrenar)</t>
  </si>
  <si>
    <t xml:space="preserve">Completar celdas amarillas. PCC reportado = valor del artículo original en CASF-2016. Diferencia se calcula sola.</t>
  </si>
  <si>
    <t xml:space="preserve">#</t>
  </si>
  <si>
    <t xml:space="preserve">Scoring function</t>
  </si>
  <si>
    <t xml:space="preserve">Modelo entrenado / fuente</t>
  </si>
  <si>
    <t xml:space="preserve">Dependencias principales</t>
  </si>
  <si>
    <t xml:space="preserve">Instalada</t>
  </si>
  <si>
    <t xml:space="preserve">Corre</t>
  </si>
  <si>
    <t xml:space="preserve">PCC obtenido</t>
  </si>
  <si>
    <t xml:space="preserve">PCC reportado</t>
  </si>
  <si>
    <t xml:space="preserve">Diferencia</t>
  </si>
  <si>
    <t xml:space="preserve">Problemas / notas</t>
  </si>
  <si>
    <t xml:space="preserve">ET-Score</t>
  </si>
  <si>
    <t xml:space="preserve">et_score.sav (Files.7z o Figshare)</t>
  </si>
  <si>
    <t xml:space="preserve">scikit-learn</t>
  </si>
  <si>
    <t xml:space="preserve">GB-Score</t>
  </si>
  <si>
    <t xml:space="preserve">.joblib en Figshare</t>
  </si>
  <si>
    <t xml:space="preserve">OnionNet-2</t>
  </si>
  <si>
    <t xml:space="preserve">Modelo en Zenodo</t>
  </si>
  <si>
    <t xml:space="preserve">TensorFlow CPU</t>
  </si>
  <si>
    <t xml:space="preserve">SFCNN</t>
  </si>
  <si>
    <t xml:space="preserve">Pesos en el repo</t>
  </si>
  <si>
    <t xml:space="preserve">TensorFlow + OpenBabel</t>
  </si>
  <si>
    <t xml:space="preserve">PLANET</t>
  </si>
  <si>
    <t xml:space="preserve">PLANET.param en el repo</t>
  </si>
  <si>
    <t xml:space="preserve">PyTorch + RDKit</t>
  </si>
  <si>
    <t xml:space="preserve">egGNN</t>
  </si>
  <si>
    <t xml:space="preserve">Checkpoint en el repo</t>
  </si>
  <si>
    <t xml:space="preserve">SMILES + PDB</t>
  </si>
  <si>
    <t xml:space="preserve">GIGN</t>
  </si>
  <si>
    <t xml:space="preserve">PyTorch</t>
  </si>
  <si>
    <t xml:space="preserve">EHIGN-PLA</t>
  </si>
  <si>
    <t xml:space="preserve">Mismo entorno que GIGN</t>
  </si>
  <si>
    <t xml:space="preserve">saCNN</t>
  </si>
  <si>
    <t xml:space="preserve">moleculekit</t>
  </si>
  <si>
    <t xml:space="preserve">DEAttentionDTA</t>
  </si>
  <si>
    <t xml:space="preserve">Solo secuencias</t>
  </si>
  <si>
    <t xml:space="preserve">DeepBindGCN</t>
  </si>
  <si>
    <t xml:space="preserve">Release de GitHub</t>
  </si>
  <si>
    <t xml:space="preserve">HAC-Net</t>
  </si>
  <si>
    <t xml:space="preserve">pip HACNet</t>
  </si>
  <si>
    <t xml:space="preserve">delta_LinF9_XGB</t>
  </si>
  <si>
    <t xml:space="preserve">En el repo</t>
  </si>
  <si>
    <t xml:space="preserve">Docker (MGLTools/MSMS)</t>
  </si>
  <si>
    <t xml:space="preserve">GraphscoreDTA</t>
  </si>
  <si>
    <t xml:space="preserve">Calcular términos Vina</t>
  </si>
  <si>
    <t xml:space="preserve">IGModel</t>
  </si>
  <si>
    <t xml:space="preserve">DGL</t>
  </si>
  <si>
    <t xml:space="preserve">ConBAP</t>
  </si>
  <si>
    <t xml:space="preserve">GVP, PyMOL</t>
  </si>
  <si>
    <t xml:space="preserve">CPIScore</t>
  </si>
  <si>
    <t xml:space="preserve">Sin instrucciones de uso</t>
  </si>
  <si>
    <t xml:space="preserve">PointNet</t>
  </si>
  <si>
    <t xml:space="preserve">GPU / descargas grandes</t>
  </si>
  <si>
    <t xml:space="preserve">PIGNet2</t>
  </si>
  <si>
    <t xml:space="preserve">GPU</t>
  </si>
  <si>
    <t xml:space="preserve">Dynaformer</t>
  </si>
  <si>
    <t xml:space="preserve">TopoFormer</t>
  </si>
  <si>
    <t xml:space="preserve">BAPA</t>
  </si>
  <si>
    <t xml:space="preserve">TensorFlow 1.12</t>
  </si>
  <si>
    <t xml:space="preserve">CGraphDTA</t>
  </si>
  <si>
    <t xml:space="preserve">Bases HHblits/BLAST</t>
  </si>
  <si>
    <t xml:space="preserve">EGNA</t>
  </si>
  <si>
    <t xml:space="preserve">HydraScreen</t>
  </si>
  <si>
    <t xml:space="preserve">API con registro</t>
  </si>
  <si>
    <t xml:space="preserve">RFL-Score</t>
  </si>
  <si>
    <t xml:space="preserve">Muchas herramientas</t>
  </si>
  <si>
    <t xml:space="preserve">P3-Score</t>
  </si>
  <si>
    <t xml:space="preserve">Licencia de X-Score</t>
  </si>
  <si>
    <t xml:space="preserve">Descartadas (sin modelo entrenado): ECIF, MSECIF, Dowker, PerSpect ML, PPS-ML, EISA-Score, GGL-Score, MP-GNN, LGN, FGNN, MFE, MM-DRPNet, DeepTGIN, HaPPy, IMCPiDB-Score, GIaNt, CurvAGN, GCNN01, SMPLIP-Score, aescore.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</si>
</sst>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dd/mm/yyyy"/>
    <numFmt numFmtId="167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"/>
    <col collapsed="false" customWidth="true" hidden="false" outlineLevel="0" max="4" min="3" style="1" width="13"/>
    <col collapsed="false" customWidth="true" hidden="false" outlineLevel="0" max="5" min="5" style="1" width="12"/>
    <col collapsed="false" customWidth="true" hidden="false" outlineLevel="0" max="6" min="6" style="1" width="11"/>
  </cols>
  <sheetData>
    <row r="1" customFormat="false" ht="17.25" hidden="false" customHeight="true" outlineLevel="0" collapsed="false">
      <c r="A1" s="2" t="s">
        <v>0</v>
      </c>
    </row>
    <row r="3" customFormat="false" ht="26.2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customFormat="false" ht="15" hidden="false" customHeight="true" outlineLevel="0" collapsed="false">
      <c r="A4" s="4" t="s">
        <v>7</v>
      </c>
      <c r="B4" s="4" t="n">
        <f aca="false">COUNTIF(Etapas!$B$5:$B$33,A4)</f>
        <v>5</v>
      </c>
      <c r="C4" s="4" t="n">
        <f aca="false">COUNTIFS(Etapas!$B$5:$B$33,A4,Etapas!$F$5:$F$33,"Completada")</f>
        <v>5</v>
      </c>
      <c r="D4" s="4" t="n">
        <f aca="false">COUNTIFS(Etapas!$B$5:$B$33,A4,Etapas!$F$5:$F$33,"En progreso")</f>
        <v>0</v>
      </c>
      <c r="E4" s="4" t="n">
        <f aca="false">COUNTIFS(Etapas!$B$5:$B$33,A4,Etapas!$F$5:$F$33,"Pendiente")</f>
        <v>0</v>
      </c>
      <c r="F4" s="5" t="n">
        <f aca="false">IF(B4=0,0,C4/B4)</f>
        <v>1</v>
      </c>
    </row>
    <row r="5" customFormat="false" ht="15" hidden="false" customHeight="true" outlineLevel="0" collapsed="false">
      <c r="A5" s="4" t="s">
        <v>8</v>
      </c>
      <c r="B5" s="4" t="n">
        <f aca="false">COUNTIF(Etapas!$B$5:$B$33,A5)</f>
        <v>2</v>
      </c>
      <c r="C5" s="4" t="n">
        <f aca="false">COUNTIFS(Etapas!$B$5:$B$33,A5,Etapas!$F$5:$F$33,"Completada")</f>
        <v>2</v>
      </c>
      <c r="D5" s="4" t="n">
        <f aca="false">COUNTIFS(Etapas!$B$5:$B$33,A5,Etapas!$F$5:$F$33,"En progreso")</f>
        <v>0</v>
      </c>
      <c r="E5" s="4" t="n">
        <f aca="false">COUNTIFS(Etapas!$B$5:$B$33,A5,Etapas!$F$5:$F$33,"Pendiente")</f>
        <v>0</v>
      </c>
      <c r="F5" s="5" t="n">
        <f aca="false">IF(B5=0,0,C5/B5)</f>
        <v>1</v>
      </c>
    </row>
    <row r="6" customFormat="false" ht="15" hidden="false" customHeight="true" outlineLevel="0" collapsed="false">
      <c r="A6" s="4" t="s">
        <v>9</v>
      </c>
      <c r="B6" s="4" t="n">
        <f aca="false">COUNTIF(Etapas!$B$5:$B$33,A6)</f>
        <v>4</v>
      </c>
      <c r="C6" s="4" t="n">
        <f aca="false">COUNTIFS(Etapas!$B$5:$B$33,A6,Etapas!$F$5:$F$33,"Completada")</f>
        <v>2</v>
      </c>
      <c r="D6" s="4" t="n">
        <f aca="false">COUNTIFS(Etapas!$B$5:$B$33,A6,Etapas!$F$5:$F$33,"En progreso")</f>
        <v>0</v>
      </c>
      <c r="E6" s="4" t="n">
        <f aca="false">COUNTIFS(Etapas!$B$5:$B$33,A6,Etapas!$F$5:$F$33,"Pendiente")</f>
        <v>2</v>
      </c>
      <c r="F6" s="5" t="n">
        <f aca="false">IF(B6=0,0,C6/B6)</f>
        <v>0.5</v>
      </c>
    </row>
    <row r="7" customFormat="false" ht="15" hidden="false" customHeight="true" outlineLevel="0" collapsed="false">
      <c r="A7" s="4" t="s">
        <v>10</v>
      </c>
      <c r="B7" s="4" t="n">
        <f aca="false">COUNTIF(Etapas!$B$5:$B$33,A7)</f>
        <v>1</v>
      </c>
      <c r="C7" s="4" t="n">
        <f aca="false">COUNTIFS(Etapas!$B$5:$B$33,A7,Etapas!$F$5:$F$33,"Completada")</f>
        <v>1</v>
      </c>
      <c r="D7" s="4" t="n">
        <f aca="false">COUNTIFS(Etapas!$B$5:$B$33,A7,Etapas!$F$5:$F$33,"En progreso")</f>
        <v>0</v>
      </c>
      <c r="E7" s="4" t="n">
        <f aca="false">COUNTIFS(Etapas!$B$5:$B$33,A7,Etapas!$F$5:$F$33,"Pendiente")</f>
        <v>0</v>
      </c>
      <c r="F7" s="5" t="n">
        <f aca="false">IF(B7=0,0,C7/B7)</f>
        <v>1</v>
      </c>
    </row>
    <row r="8" customFormat="false" ht="15" hidden="false" customHeight="true" outlineLevel="0" collapsed="false">
      <c r="A8" s="4" t="s">
        <v>11</v>
      </c>
      <c r="B8" s="4" t="n">
        <f aca="false">COUNTIF(Etapas!$B$5:$B$33,A8)</f>
        <v>8</v>
      </c>
      <c r="C8" s="4" t="n">
        <f aca="false">COUNTIFS(Etapas!$B$5:$B$33,A8,Etapas!$F$5:$F$33,"Completada")</f>
        <v>0</v>
      </c>
      <c r="D8" s="4" t="n">
        <f aca="false">COUNTIFS(Etapas!$B$5:$B$33,A8,Etapas!$F$5:$F$33,"En progreso")</f>
        <v>2</v>
      </c>
      <c r="E8" s="4" t="n">
        <f aca="false">COUNTIFS(Etapas!$B$5:$B$33,A8,Etapas!$F$5:$F$33,"Pendiente")</f>
        <v>6</v>
      </c>
      <c r="F8" s="5" t="n">
        <f aca="false">IF(B8=0,0,C8/B8)</f>
        <v>0</v>
      </c>
    </row>
    <row r="9" customFormat="false" ht="15" hidden="false" customHeight="true" outlineLevel="0" collapsed="false">
      <c r="A9" s="4" t="s">
        <v>12</v>
      </c>
      <c r="B9" s="4" t="n">
        <f aca="false">COUNTIF(Etapas!$B$5:$B$33,A9)</f>
        <v>3</v>
      </c>
      <c r="C9" s="4" t="n">
        <f aca="false">COUNTIFS(Etapas!$B$5:$B$33,A9,Etapas!$F$5:$F$33,"Completada")</f>
        <v>0</v>
      </c>
      <c r="D9" s="4" t="n">
        <f aca="false">COUNTIFS(Etapas!$B$5:$B$33,A9,Etapas!$F$5:$F$33,"En progreso")</f>
        <v>0</v>
      </c>
      <c r="E9" s="4" t="n">
        <f aca="false">COUNTIFS(Etapas!$B$5:$B$33,A9,Etapas!$F$5:$F$33,"Pendiente")</f>
        <v>3</v>
      </c>
      <c r="F9" s="5" t="n">
        <f aca="false">IF(B9=0,0,C9/B9)</f>
        <v>0</v>
      </c>
    </row>
    <row r="10" customFormat="false" ht="15" hidden="false" customHeight="true" outlineLevel="0" collapsed="false">
      <c r="A10" s="4" t="s">
        <v>13</v>
      </c>
      <c r="B10" s="4" t="n">
        <f aca="false">COUNTIF(Etapas!$B$5:$B$33,A10)</f>
        <v>1</v>
      </c>
      <c r="C10" s="4" t="n">
        <f aca="false">COUNTIFS(Etapas!$B$5:$B$33,A10,Etapas!$F$5:$F$33,"Completada")</f>
        <v>0</v>
      </c>
      <c r="D10" s="4" t="n">
        <f aca="false">COUNTIFS(Etapas!$B$5:$B$33,A10,Etapas!$F$5:$F$33,"En progreso")</f>
        <v>0</v>
      </c>
      <c r="E10" s="4" t="n">
        <f aca="false">COUNTIFS(Etapas!$B$5:$B$33,A10,Etapas!$F$5:$F$33,"Pendiente")</f>
        <v>1</v>
      </c>
      <c r="F10" s="5" t="n">
        <f aca="false">IF(B10=0,0,C10/B10)</f>
        <v>0</v>
      </c>
    </row>
    <row r="11" customFormat="false" ht="15" hidden="false" customHeight="true" outlineLevel="0" collapsed="false">
      <c r="A11" s="4" t="s">
        <v>14</v>
      </c>
      <c r="B11" s="4" t="n">
        <f aca="false">COUNTIF(Etapas!$B$5:$B$33,A11)</f>
        <v>1</v>
      </c>
      <c r="C11" s="4" t="n">
        <f aca="false">COUNTIFS(Etapas!$B$5:$B$33,A11,Etapas!$F$5:$F$33,"Completada")</f>
        <v>0</v>
      </c>
      <c r="D11" s="4" t="n">
        <f aca="false">COUNTIFS(Etapas!$B$5:$B$33,A11,Etapas!$F$5:$F$33,"En progreso")</f>
        <v>0</v>
      </c>
      <c r="E11" s="4" t="n">
        <f aca="false">COUNTIFS(Etapas!$B$5:$B$33,A11,Etapas!$F$5:$F$33,"Pendiente")</f>
        <v>1</v>
      </c>
      <c r="F11" s="5" t="n">
        <f aca="false">IF(B11=0,0,C11/B11)</f>
        <v>0</v>
      </c>
    </row>
    <row r="12" customFormat="false" ht="15" hidden="false" customHeight="true" outlineLevel="0" collapsed="false">
      <c r="A12" s="4" t="s">
        <v>15</v>
      </c>
      <c r="B12" s="4" t="n">
        <f aca="false">COUNTIF(Etapas!$B$5:$B$33,A12)</f>
        <v>3</v>
      </c>
      <c r="C12" s="4" t="n">
        <f aca="false">COUNTIFS(Etapas!$B$5:$B$33,A12,Etapas!$F$5:$F$33,"Completada")</f>
        <v>0</v>
      </c>
      <c r="D12" s="4" t="n">
        <f aca="false">COUNTIFS(Etapas!$B$5:$B$33,A12,Etapas!$F$5:$F$33,"En progreso")</f>
        <v>0</v>
      </c>
      <c r="E12" s="4" t="n">
        <f aca="false">COUNTIFS(Etapas!$B$5:$B$33,A12,Etapas!$F$5:$F$33,"Pendiente")</f>
        <v>3</v>
      </c>
      <c r="F12" s="5" t="n">
        <f aca="false">IF(B12=0,0,C12/B12)</f>
        <v>0</v>
      </c>
    </row>
    <row r="13" customFormat="false" ht="15" hidden="false" customHeight="true" outlineLevel="0" collapsed="false">
      <c r="A13" s="4" t="s">
        <v>16</v>
      </c>
      <c r="B13" s="4" t="n">
        <f aca="false">COUNTIF(Etapas!$B$5:$B$33,A13)</f>
        <v>1</v>
      </c>
      <c r="C13" s="4" t="n">
        <f aca="false">COUNTIFS(Etapas!$B$5:$B$33,A13,Etapas!$F$5:$F$33,"Completada")</f>
        <v>0</v>
      </c>
      <c r="D13" s="4" t="n">
        <f aca="false">COUNTIFS(Etapas!$B$5:$B$33,A13,Etapas!$F$5:$F$33,"En progreso")</f>
        <v>0</v>
      </c>
      <c r="E13" s="4" t="n">
        <f aca="false">COUNTIFS(Etapas!$B$5:$B$33,A13,Etapas!$F$5:$F$33,"Pendiente")</f>
        <v>1</v>
      </c>
      <c r="F13" s="5" t="n">
        <f aca="false">IF(B13=0,0,C13/B13)</f>
        <v>0</v>
      </c>
    </row>
    <row r="14" customFormat="false" ht="15" hidden="false" customHeight="true" outlineLevel="0" collapsed="false">
      <c r="A14" s="6" t="s">
        <v>17</v>
      </c>
      <c r="B14" s="6" t="n">
        <f aca="false">SUM(B4:B13)</f>
        <v>29</v>
      </c>
      <c r="C14" s="6" t="n">
        <f aca="false">SUM(C4:C13)</f>
        <v>10</v>
      </c>
      <c r="D14" s="6" t="n">
        <f aca="false">SUM(D4:D13)</f>
        <v>2</v>
      </c>
      <c r="E14" s="6" t="n">
        <f aca="false">SUM(E4:E13)</f>
        <v>17</v>
      </c>
      <c r="F14" s="7" t="n">
        <f aca="false">IF(B14=0,0,C14/B14)</f>
        <v>0.344827586206897</v>
      </c>
    </row>
    <row r="16" customFormat="false" ht="15" hidden="false" customHeight="true" outlineLevel="0" collapsed="false">
      <c r="A16" s="8" t="s">
        <v>18</v>
      </c>
    </row>
    <row r="17" customFormat="false" ht="15" hidden="false" customHeight="true" outlineLevel="0" collapsed="false">
      <c r="A17" s="3" t="s">
        <v>19</v>
      </c>
      <c r="B17" s="3" t="s">
        <v>20</v>
      </c>
      <c r="C17" s="3" t="s">
        <v>21</v>
      </c>
      <c r="D17" s="3" t="s">
        <v>22</v>
      </c>
      <c r="E17" s="3" t="s">
        <v>23</v>
      </c>
      <c r="F17" s="9"/>
    </row>
    <row r="18" customFormat="false" ht="15" hidden="false" customHeight="true" outlineLevel="0" collapsed="false">
      <c r="A18" s="4" t="s">
        <v>24</v>
      </c>
      <c r="B18" s="4" t="n">
        <f aca="false">COUNTIF('Estado SF'!$A$5:$A$31,1)</f>
        <v>10</v>
      </c>
      <c r="C18" s="4" t="n">
        <f aca="false">COUNTIFS('Estado SF'!$A$5:$A$31,1,'Estado SF'!$F$5:$F$31,"Sí")</f>
        <v>0</v>
      </c>
      <c r="D18" s="4" t="n">
        <f aca="false">COUNTIFS('Estado SF'!$A$5:$A$31,1,'Estado SF'!$G$5:$G$31,"Sí")</f>
        <v>0</v>
      </c>
      <c r="E18" s="4" t="n">
        <f aca="false">SUMPRODUCT(('Estado SF'!$A$5:$A$31=1)*ISNUMBER('Estado SF'!$H$5:$H$31))</f>
        <v>0</v>
      </c>
    </row>
    <row r="19" customFormat="false" ht="15" hidden="false" customHeight="true" outlineLevel="0" collapsed="false">
      <c r="A19" s="4" t="s">
        <v>25</v>
      </c>
      <c r="B19" s="4" t="n">
        <f aca="false">COUNTIF('Estado SF'!$A$5:$A$31,2)</f>
        <v>7</v>
      </c>
      <c r="C19" s="4" t="n">
        <f aca="false">COUNTIFS('Estado SF'!$A$5:$A$31,2,'Estado SF'!$F$5:$F$31,"Sí")</f>
        <v>0</v>
      </c>
      <c r="D19" s="4" t="n">
        <f aca="false">COUNTIFS('Estado SF'!$A$5:$A$31,2,'Estado SF'!$G$5:$G$31,"Sí")</f>
        <v>0</v>
      </c>
      <c r="E19" s="4" t="n">
        <f aca="false">SUMPRODUCT(('Estado SF'!$A$5:$A$31=2)*ISNUMBER('Estado SF'!$H$5:$H$31))</f>
        <v>0</v>
      </c>
    </row>
    <row r="20" customFormat="false" ht="15" hidden="false" customHeight="true" outlineLevel="0" collapsed="false">
      <c r="A20" s="4" t="s">
        <v>26</v>
      </c>
      <c r="B20" s="4" t="n">
        <f aca="false">COUNTIF('Estado SF'!$A$5:$A$31,3)</f>
        <v>10</v>
      </c>
      <c r="C20" s="4" t="n">
        <f aca="false">COUNTIFS('Estado SF'!$A$5:$A$31,3,'Estado SF'!$F$5:$F$31,"Sí")</f>
        <v>0</v>
      </c>
      <c r="D20" s="4" t="n">
        <f aca="false">COUNTIFS('Estado SF'!$A$5:$A$31,3,'Estado SF'!$G$5:$G$31,"Sí")</f>
        <v>0</v>
      </c>
      <c r="E20" s="4" t="n">
        <f aca="false">SUMPRODUCT(('Estado SF'!$A$5:$A$31=3)*ISNUMBER('Estado SF'!$H$5:$H$31))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0"/>
    <col collapsed="false" customWidth="true" hidden="false" outlineLevel="0" max="3" min="3" style="1" width="38"/>
    <col collapsed="false" customWidth="true" hidden="false" outlineLevel="0" max="4" min="4" style="1" width="60"/>
    <col collapsed="false" customWidth="true" hidden="false" outlineLevel="0" max="5" min="5" style="1" width="11"/>
    <col collapsed="false" customWidth="true" hidden="false" outlineLevel="0" max="7" min="6" style="1" width="14"/>
    <col collapsed="false" customWidth="true" hidden="false" outlineLevel="0" max="9" min="8" style="1" width="12"/>
    <col collapsed="false" customWidth="true" hidden="false" outlineLevel="0" max="10" min="10" style="1" width="40"/>
  </cols>
  <sheetData>
    <row r="1" customFormat="false" ht="17.25" hidden="false" customHeight="true" outlineLevel="0" collapsed="false">
      <c r="A1" s="2" t="s">
        <v>27</v>
      </c>
    </row>
    <row r="2" customFormat="false" ht="15" hidden="false" customHeight="true" outlineLevel="0" collapsed="false">
      <c r="A2" s="10" t="s">
        <v>28</v>
      </c>
    </row>
    <row r="4" customFormat="false" ht="26.25" hidden="false" customHeight="true" outlineLevel="0" collapsed="false">
      <c r="A4" s="3" t="s">
        <v>29</v>
      </c>
      <c r="B4" s="3" t="s">
        <v>1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34</v>
      </c>
      <c r="H4" s="3" t="s">
        <v>35</v>
      </c>
      <c r="I4" s="3" t="s">
        <v>36</v>
      </c>
      <c r="J4" s="3" t="s">
        <v>37</v>
      </c>
    </row>
    <row r="5" customFormat="false" ht="26.25" hidden="false" customHeight="true" outlineLevel="0" collapsed="false">
      <c r="A5" s="11" t="s">
        <v>38</v>
      </c>
      <c r="B5" s="11" t="s">
        <v>7</v>
      </c>
      <c r="C5" s="11" t="s">
        <v>39</v>
      </c>
      <c r="D5" s="11" t="s">
        <v>40</v>
      </c>
      <c r="E5" s="11"/>
      <c r="F5" s="12" t="s">
        <v>41</v>
      </c>
      <c r="G5" s="12"/>
      <c r="H5" s="13" t="n">
        <v>46314</v>
      </c>
      <c r="I5" s="13" t="n">
        <v>46314</v>
      </c>
      <c r="J5" s="12" t="s">
        <v>42</v>
      </c>
    </row>
    <row r="6" customFormat="false" ht="26.25" hidden="false" customHeight="true" outlineLevel="0" collapsed="false">
      <c r="A6" s="11" t="s">
        <v>43</v>
      </c>
      <c r="B6" s="11" t="s">
        <v>7</v>
      </c>
      <c r="C6" s="11" t="s">
        <v>44</v>
      </c>
      <c r="D6" s="11" t="s">
        <v>45</v>
      </c>
      <c r="E6" s="11"/>
      <c r="F6" s="12" t="s">
        <v>41</v>
      </c>
      <c r="G6" s="12"/>
      <c r="H6" s="13" t="n">
        <v>46314</v>
      </c>
      <c r="I6" s="13" t="n">
        <v>46314</v>
      </c>
      <c r="J6" s="12" t="s">
        <v>46</v>
      </c>
    </row>
    <row r="7" customFormat="false" ht="15" hidden="false" customHeight="true" outlineLevel="0" collapsed="false">
      <c r="A7" s="11" t="s">
        <v>47</v>
      </c>
      <c r="B7" s="11" t="s">
        <v>7</v>
      </c>
      <c r="C7" s="11" t="s">
        <v>48</v>
      </c>
      <c r="D7" s="11" t="s">
        <v>49</v>
      </c>
      <c r="E7" s="11"/>
      <c r="F7" s="12" t="s">
        <v>41</v>
      </c>
      <c r="G7" s="12"/>
      <c r="H7" s="13" t="n">
        <v>46314</v>
      </c>
      <c r="I7" s="13" t="n">
        <v>46314</v>
      </c>
      <c r="J7" s="12" t="s">
        <v>50</v>
      </c>
    </row>
    <row r="8" customFormat="false" ht="15" hidden="false" customHeight="true" outlineLevel="0" collapsed="false">
      <c r="A8" s="11" t="s">
        <v>51</v>
      </c>
      <c r="B8" s="11" t="s">
        <v>7</v>
      </c>
      <c r="C8" s="11" t="s">
        <v>52</v>
      </c>
      <c r="D8" s="11" t="s">
        <v>53</v>
      </c>
      <c r="E8" s="11"/>
      <c r="F8" s="12" t="s">
        <v>41</v>
      </c>
      <c r="G8" s="12"/>
      <c r="H8" s="13" t="n">
        <v>46314</v>
      </c>
      <c r="I8" s="13" t="n">
        <v>46314</v>
      </c>
      <c r="J8" s="12" t="s">
        <v>54</v>
      </c>
    </row>
    <row r="9" customFormat="false" ht="26.25" hidden="false" customHeight="true" outlineLevel="0" collapsed="false">
      <c r="A9" s="11" t="s">
        <v>55</v>
      </c>
      <c r="B9" s="11" t="s">
        <v>7</v>
      </c>
      <c r="C9" s="11" t="s">
        <v>56</v>
      </c>
      <c r="D9" s="11" t="s">
        <v>57</v>
      </c>
      <c r="E9" s="11"/>
      <c r="F9" s="12" t="s">
        <v>41</v>
      </c>
      <c r="G9" s="12"/>
      <c r="H9" s="13" t="n">
        <v>46314</v>
      </c>
      <c r="I9" s="13" t="n">
        <v>46314</v>
      </c>
      <c r="J9" s="12" t="s">
        <v>58</v>
      </c>
    </row>
    <row r="10" customFormat="false" ht="15" hidden="false" customHeight="true" outlineLevel="0" collapsed="false">
      <c r="A10" s="11" t="s">
        <v>59</v>
      </c>
      <c r="B10" s="11" t="s">
        <v>8</v>
      </c>
      <c r="C10" s="11" t="s">
        <v>60</v>
      </c>
      <c r="D10" s="11" t="s">
        <v>61</v>
      </c>
      <c r="E10" s="11"/>
      <c r="F10" s="12" t="s">
        <v>41</v>
      </c>
      <c r="G10" s="12"/>
      <c r="H10" s="13"/>
      <c r="I10" s="13"/>
      <c r="J10" s="12"/>
    </row>
    <row r="11" customFormat="false" ht="26.25" hidden="false" customHeight="true" outlineLevel="0" collapsed="false">
      <c r="A11" s="11" t="s">
        <v>62</v>
      </c>
      <c r="B11" s="11" t="s">
        <v>8</v>
      </c>
      <c r="C11" s="11" t="s">
        <v>63</v>
      </c>
      <c r="D11" s="11" t="s">
        <v>64</v>
      </c>
      <c r="E11" s="11" t="s">
        <v>59</v>
      </c>
      <c r="F11" s="12" t="s">
        <v>41</v>
      </c>
      <c r="G11" s="12"/>
      <c r="H11" s="13"/>
      <c r="I11" s="13"/>
      <c r="J11" s="12" t="s">
        <v>65</v>
      </c>
    </row>
    <row r="12" customFormat="false" ht="15" hidden="false" customHeight="true" outlineLevel="0" collapsed="false">
      <c r="A12" s="11" t="s">
        <v>66</v>
      </c>
      <c r="B12" s="11" t="s">
        <v>9</v>
      </c>
      <c r="C12" s="11" t="s">
        <v>67</v>
      </c>
      <c r="D12" s="11" t="s">
        <v>68</v>
      </c>
      <c r="E12" s="11" t="s">
        <v>59</v>
      </c>
      <c r="F12" s="12" t="s">
        <v>41</v>
      </c>
      <c r="G12" s="12"/>
      <c r="H12" s="13"/>
      <c r="I12" s="13"/>
      <c r="J12" s="12"/>
    </row>
    <row r="13" customFormat="false" ht="15" hidden="false" customHeight="true" outlineLevel="0" collapsed="false">
      <c r="A13" s="11" t="s">
        <v>69</v>
      </c>
      <c r="B13" s="11" t="s">
        <v>9</v>
      </c>
      <c r="C13" s="11" t="s">
        <v>70</v>
      </c>
      <c r="D13" s="11" t="s">
        <v>71</v>
      </c>
      <c r="E13" s="11"/>
      <c r="F13" s="12" t="s">
        <v>41</v>
      </c>
      <c r="G13" s="12"/>
      <c r="H13" s="13"/>
      <c r="I13" s="13"/>
      <c r="J13" s="12"/>
    </row>
    <row r="14" customFormat="false" ht="15" hidden="false" customHeight="true" outlineLevel="0" collapsed="false">
      <c r="A14" s="11" t="s">
        <v>72</v>
      </c>
      <c r="B14" s="11" t="s">
        <v>9</v>
      </c>
      <c r="C14" s="11" t="s">
        <v>73</v>
      </c>
      <c r="D14" s="11" t="s">
        <v>74</v>
      </c>
      <c r="E14" s="11" t="s">
        <v>66</v>
      </c>
      <c r="F14" s="12" t="s">
        <v>75</v>
      </c>
      <c r="G14" s="12"/>
      <c r="H14" s="13"/>
      <c r="I14" s="13"/>
      <c r="J14" s="12"/>
    </row>
    <row r="15" customFormat="false" ht="15" hidden="false" customHeight="true" outlineLevel="0" collapsed="false">
      <c r="A15" s="11" t="s">
        <v>76</v>
      </c>
      <c r="B15" s="11" t="s">
        <v>9</v>
      </c>
      <c r="C15" s="11" t="s">
        <v>77</v>
      </c>
      <c r="D15" s="11" t="s">
        <v>78</v>
      </c>
      <c r="E15" s="11" t="s">
        <v>66</v>
      </c>
      <c r="F15" s="12" t="s">
        <v>75</v>
      </c>
      <c r="G15" s="12"/>
      <c r="H15" s="13"/>
      <c r="I15" s="13"/>
      <c r="J15" s="12"/>
    </row>
    <row r="16" customFormat="false" ht="26.25" hidden="false" customHeight="true" outlineLevel="0" collapsed="false">
      <c r="A16" s="11" t="s">
        <v>79</v>
      </c>
      <c r="B16" s="11" t="s">
        <v>10</v>
      </c>
      <c r="C16" s="11" t="s">
        <v>80</v>
      </c>
      <c r="D16" s="11" t="s">
        <v>81</v>
      </c>
      <c r="E16" s="11" t="s">
        <v>66</v>
      </c>
      <c r="F16" s="12" t="s">
        <v>41</v>
      </c>
      <c r="G16" s="12"/>
      <c r="H16" s="13"/>
      <c r="I16" s="13"/>
      <c r="J16" s="12"/>
    </row>
    <row r="17" customFormat="false" ht="26.25" hidden="false" customHeight="true" outlineLevel="0" collapsed="false">
      <c r="A17" s="11" t="s">
        <v>82</v>
      </c>
      <c r="B17" s="11" t="s">
        <v>11</v>
      </c>
      <c r="C17" s="11" t="s">
        <v>83</v>
      </c>
      <c r="D17" s="11" t="s">
        <v>84</v>
      </c>
      <c r="E17" s="11" t="s">
        <v>79</v>
      </c>
      <c r="F17" s="12" t="s">
        <v>4</v>
      </c>
      <c r="G17" s="12"/>
      <c r="H17" s="13"/>
      <c r="I17" s="13"/>
      <c r="J17" s="12" t="s">
        <v>85</v>
      </c>
    </row>
    <row r="18" customFormat="false" ht="26.25" hidden="false" customHeight="true" outlineLevel="0" collapsed="false">
      <c r="A18" s="11" t="s">
        <v>86</v>
      </c>
      <c r="B18" s="11" t="s">
        <v>11</v>
      </c>
      <c r="C18" s="11" t="s">
        <v>87</v>
      </c>
      <c r="D18" s="11" t="s">
        <v>88</v>
      </c>
      <c r="E18" s="11"/>
      <c r="F18" s="12" t="s">
        <v>4</v>
      </c>
      <c r="G18" s="12"/>
      <c r="H18" s="13"/>
      <c r="I18" s="13"/>
      <c r="J18" s="12" t="s">
        <v>89</v>
      </c>
    </row>
    <row r="19" customFormat="false" ht="15" hidden="false" customHeight="true" outlineLevel="0" collapsed="false">
      <c r="A19" s="11" t="s">
        <v>90</v>
      </c>
      <c r="B19" s="11" t="s">
        <v>11</v>
      </c>
      <c r="C19" s="11" t="s">
        <v>91</v>
      </c>
      <c r="D19" s="11" t="s">
        <v>92</v>
      </c>
      <c r="E19" s="11" t="s">
        <v>93</v>
      </c>
      <c r="F19" s="12" t="s">
        <v>75</v>
      </c>
      <c r="G19" s="12"/>
      <c r="H19" s="13"/>
      <c r="I19" s="13"/>
      <c r="J19" s="12"/>
    </row>
    <row r="20" customFormat="false" ht="15" hidden="false" customHeight="true" outlineLevel="0" collapsed="false">
      <c r="A20" s="11" t="s">
        <v>94</v>
      </c>
      <c r="B20" s="11" t="s">
        <v>11</v>
      </c>
      <c r="C20" s="11" t="s">
        <v>95</v>
      </c>
      <c r="D20" s="11" t="s">
        <v>96</v>
      </c>
      <c r="E20" s="11" t="s">
        <v>82</v>
      </c>
      <c r="F20" s="12" t="s">
        <v>75</v>
      </c>
      <c r="G20" s="12"/>
      <c r="H20" s="13"/>
      <c r="I20" s="13"/>
      <c r="J20" s="12"/>
    </row>
    <row r="21" customFormat="false" ht="15" hidden="false" customHeight="true" outlineLevel="0" collapsed="false">
      <c r="A21" s="11" t="s">
        <v>97</v>
      </c>
      <c r="B21" s="11" t="s">
        <v>11</v>
      </c>
      <c r="C21" s="11" t="s">
        <v>98</v>
      </c>
      <c r="D21" s="11" t="s">
        <v>99</v>
      </c>
      <c r="E21" s="11" t="s">
        <v>82</v>
      </c>
      <c r="F21" s="12" t="s">
        <v>75</v>
      </c>
      <c r="G21" s="12"/>
      <c r="H21" s="13"/>
      <c r="I21" s="13"/>
      <c r="J21" s="12"/>
    </row>
    <row r="22" customFormat="false" ht="15" hidden="false" customHeight="true" outlineLevel="0" collapsed="false">
      <c r="A22" s="11" t="s">
        <v>100</v>
      </c>
      <c r="B22" s="11" t="s">
        <v>11</v>
      </c>
      <c r="C22" s="11" t="s">
        <v>101</v>
      </c>
      <c r="D22" s="11" t="s">
        <v>102</v>
      </c>
      <c r="E22" s="11" t="s">
        <v>97</v>
      </c>
      <c r="F22" s="12" t="s">
        <v>75</v>
      </c>
      <c r="G22" s="12"/>
      <c r="H22" s="13"/>
      <c r="I22" s="13"/>
      <c r="J22" s="12"/>
    </row>
    <row r="23" customFormat="false" ht="15" hidden="false" customHeight="true" outlineLevel="0" collapsed="false">
      <c r="A23" s="11" t="s">
        <v>103</v>
      </c>
      <c r="B23" s="11" t="s">
        <v>11</v>
      </c>
      <c r="C23" s="11" t="s">
        <v>104</v>
      </c>
      <c r="D23" s="11" t="s">
        <v>105</v>
      </c>
      <c r="E23" s="11" t="s">
        <v>97</v>
      </c>
      <c r="F23" s="12" t="s">
        <v>75</v>
      </c>
      <c r="G23" s="12"/>
      <c r="H23" s="13"/>
      <c r="I23" s="13"/>
      <c r="J23" s="12"/>
    </row>
    <row r="24" customFormat="false" ht="15" hidden="false" customHeight="true" outlineLevel="0" collapsed="false">
      <c r="A24" s="11" t="s">
        <v>106</v>
      </c>
      <c r="B24" s="11" t="s">
        <v>11</v>
      </c>
      <c r="C24" s="11" t="s">
        <v>107</v>
      </c>
      <c r="D24" s="11" t="s">
        <v>108</v>
      </c>
      <c r="E24" s="11" t="s">
        <v>82</v>
      </c>
      <c r="F24" s="12" t="s">
        <v>75</v>
      </c>
      <c r="G24" s="12"/>
      <c r="H24" s="13"/>
      <c r="I24" s="13"/>
      <c r="J24" s="12"/>
    </row>
    <row r="25" customFormat="false" ht="26.25" hidden="false" customHeight="true" outlineLevel="0" collapsed="false">
      <c r="A25" s="11" t="s">
        <v>109</v>
      </c>
      <c r="B25" s="11" t="s">
        <v>12</v>
      </c>
      <c r="C25" s="11" t="s">
        <v>110</v>
      </c>
      <c r="D25" s="11" t="s">
        <v>111</v>
      </c>
      <c r="E25" s="11" t="s">
        <v>112</v>
      </c>
      <c r="F25" s="12" t="s">
        <v>75</v>
      </c>
      <c r="G25" s="12"/>
      <c r="H25" s="13"/>
      <c r="I25" s="13"/>
      <c r="J25" s="12" t="s">
        <v>113</v>
      </c>
    </row>
    <row r="26" customFormat="false" ht="26.25" hidden="false" customHeight="true" outlineLevel="0" collapsed="false">
      <c r="A26" s="11" t="s">
        <v>114</v>
      </c>
      <c r="B26" s="11" t="s">
        <v>12</v>
      </c>
      <c r="C26" s="11" t="s">
        <v>115</v>
      </c>
      <c r="D26" s="11" t="s">
        <v>116</v>
      </c>
      <c r="E26" s="11" t="s">
        <v>109</v>
      </c>
      <c r="F26" s="12" t="s">
        <v>75</v>
      </c>
      <c r="G26" s="12"/>
      <c r="H26" s="13"/>
      <c r="I26" s="13"/>
      <c r="J26" s="12"/>
    </row>
    <row r="27" customFormat="false" ht="26.25" hidden="false" customHeight="true" outlineLevel="0" collapsed="false">
      <c r="A27" s="11" t="s">
        <v>117</v>
      </c>
      <c r="B27" s="11" t="s">
        <v>12</v>
      </c>
      <c r="C27" s="11" t="s">
        <v>118</v>
      </c>
      <c r="D27" s="11" t="s">
        <v>119</v>
      </c>
      <c r="E27" s="11" t="s">
        <v>114</v>
      </c>
      <c r="F27" s="12" t="s">
        <v>75</v>
      </c>
      <c r="G27" s="12"/>
      <c r="H27" s="13"/>
      <c r="I27" s="13"/>
      <c r="J27" s="12"/>
    </row>
    <row r="28" customFormat="false" ht="26.25" hidden="false" customHeight="true" outlineLevel="0" collapsed="false">
      <c r="A28" s="11" t="s">
        <v>120</v>
      </c>
      <c r="B28" s="11" t="s">
        <v>13</v>
      </c>
      <c r="C28" s="11" t="s">
        <v>121</v>
      </c>
      <c r="D28" s="11" t="s">
        <v>122</v>
      </c>
      <c r="E28" s="11" t="s">
        <v>117</v>
      </c>
      <c r="F28" s="12" t="s">
        <v>75</v>
      </c>
      <c r="G28" s="12"/>
      <c r="H28" s="13"/>
      <c r="I28" s="13"/>
      <c r="J28" s="12"/>
    </row>
    <row r="29" customFormat="false" ht="26.25" hidden="false" customHeight="true" outlineLevel="0" collapsed="false">
      <c r="A29" s="11" t="s">
        <v>123</v>
      </c>
      <c r="B29" s="11" t="s">
        <v>14</v>
      </c>
      <c r="C29" s="11" t="s">
        <v>124</v>
      </c>
      <c r="D29" s="11" t="s">
        <v>125</v>
      </c>
      <c r="E29" s="11" t="s">
        <v>126</v>
      </c>
      <c r="F29" s="12" t="s">
        <v>75</v>
      </c>
      <c r="G29" s="12"/>
      <c r="H29" s="13"/>
      <c r="I29" s="13"/>
      <c r="J29" s="12" t="s">
        <v>127</v>
      </c>
    </row>
    <row r="30" customFormat="false" ht="15" hidden="false" customHeight="true" outlineLevel="0" collapsed="false">
      <c r="A30" s="11" t="s">
        <v>128</v>
      </c>
      <c r="B30" s="11" t="s">
        <v>15</v>
      </c>
      <c r="C30" s="11" t="s">
        <v>129</v>
      </c>
      <c r="D30" s="11" t="s">
        <v>130</v>
      </c>
      <c r="E30" s="11" t="s">
        <v>109</v>
      </c>
      <c r="F30" s="12" t="s">
        <v>75</v>
      </c>
      <c r="G30" s="12"/>
      <c r="H30" s="13"/>
      <c r="I30" s="13"/>
      <c r="J30" s="12"/>
    </row>
    <row r="31" customFormat="false" ht="26.25" hidden="false" customHeight="true" outlineLevel="0" collapsed="false">
      <c r="A31" s="11" t="s">
        <v>131</v>
      </c>
      <c r="B31" s="11" t="s">
        <v>15</v>
      </c>
      <c r="C31" s="11" t="s">
        <v>132</v>
      </c>
      <c r="D31" s="11" t="s">
        <v>133</v>
      </c>
      <c r="E31" s="11"/>
      <c r="F31" s="12" t="s">
        <v>75</v>
      </c>
      <c r="G31" s="12"/>
      <c r="H31" s="13"/>
      <c r="I31" s="13"/>
      <c r="J31" s="12"/>
    </row>
    <row r="32" customFormat="false" ht="15" hidden="false" customHeight="true" outlineLevel="0" collapsed="false">
      <c r="A32" s="11" t="s">
        <v>134</v>
      </c>
      <c r="B32" s="11" t="s">
        <v>15</v>
      </c>
      <c r="C32" s="11" t="s">
        <v>135</v>
      </c>
      <c r="D32" s="11" t="s">
        <v>136</v>
      </c>
      <c r="E32" s="11" t="s">
        <v>128</v>
      </c>
      <c r="F32" s="12" t="s">
        <v>75</v>
      </c>
      <c r="G32" s="12"/>
      <c r="H32" s="13"/>
      <c r="I32" s="13"/>
      <c r="J32" s="12"/>
    </row>
    <row r="33" customFormat="false" ht="15" hidden="false" customHeight="true" outlineLevel="0" collapsed="false">
      <c r="A33" s="11" t="s">
        <v>137</v>
      </c>
      <c r="B33" s="11" t="s">
        <v>16</v>
      </c>
      <c r="C33" s="11" t="s">
        <v>138</v>
      </c>
      <c r="D33" s="11" t="s">
        <v>139</v>
      </c>
      <c r="E33" s="11" t="s">
        <v>117</v>
      </c>
      <c r="F33" s="12" t="s">
        <v>75</v>
      </c>
      <c r="G33" s="12"/>
      <c r="H33" s="13"/>
      <c r="I33" s="13"/>
      <c r="J33" s="12"/>
    </row>
  </sheetData>
  <autoFilter ref="A4:J33"/>
  <conditionalFormatting sqref="F5:F33">
    <cfRule type="cellIs" priority="2" operator="equal" aboveAverage="0" equalAverage="0" bottom="0" percent="0" rank="0" text="" dxfId="7">
      <formula>"Completada"</formula>
    </cfRule>
    <cfRule type="cellIs" priority="3" operator="equal" aboveAverage="0" equalAverage="0" bottom="0" percent="0" rank="0" text="" dxfId="8">
      <formula>"En progreso"</formula>
    </cfRule>
    <cfRule type="cellIs" priority="4" operator="equal" aboveAverage="0" equalAverage="0" bottom="0" percent="0" rank="0" text="" dxfId="9">
      <formula>"Pendiente"</formula>
    </cfRule>
    <cfRule type="cellIs" priority="5" operator="equal" aboveAverage="0" equalAverage="0" bottom="0" percent="0" rank="0" text="" dxfId="10">
      <formula>"Bloqueada"</formula>
    </cfRule>
  </conditionalFormatting>
  <dataValidations count="1">
    <dataValidation allowBlank="true" errorStyle="stop" operator="between" showDropDown="false" showErrorMessage="false" showInputMessage="false" sqref="F5:F33" type="list">
      <formula1>"Pendiente,En progreso,Completada,Bloqueada"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"/>
    <col collapsed="false" customWidth="true" hidden="false" outlineLevel="0" max="3" min="3" style="1" width="20"/>
    <col collapsed="false" customWidth="true" hidden="false" outlineLevel="0" max="4" min="4" style="1" width="32"/>
    <col collapsed="false" customWidth="true" hidden="false" outlineLevel="0" max="5" min="5" style="1" width="30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9" min="8" style="1" width="12"/>
    <col collapsed="false" customWidth="true" hidden="false" outlineLevel="0" max="10" min="10" style="1" width="11"/>
    <col collapsed="false" customWidth="true" hidden="false" outlineLevel="0" max="11" min="11" style="1" width="40"/>
  </cols>
  <sheetData>
    <row r="1" customFormat="false" ht="17.25" hidden="false" customHeight="true" outlineLevel="0" collapsed="false">
      <c r="A1" s="2" t="s">
        <v>140</v>
      </c>
    </row>
    <row r="2" customFormat="false" ht="15" hidden="false" customHeight="true" outlineLevel="0" collapsed="false">
      <c r="A2" s="10" t="s">
        <v>141</v>
      </c>
    </row>
    <row r="4" customFormat="false" ht="39" hidden="false" customHeight="true" outlineLevel="0" collapsed="false">
      <c r="A4" s="3" t="s">
        <v>19</v>
      </c>
      <c r="B4" s="3" t="s">
        <v>142</v>
      </c>
      <c r="C4" s="3" t="s">
        <v>143</v>
      </c>
      <c r="D4" s="3" t="s">
        <v>144</v>
      </c>
      <c r="E4" s="3" t="s">
        <v>145</v>
      </c>
      <c r="F4" s="3" t="s">
        <v>146</v>
      </c>
      <c r="G4" s="3" t="s">
        <v>147</v>
      </c>
      <c r="H4" s="3" t="s">
        <v>148</v>
      </c>
      <c r="I4" s="3" t="s">
        <v>149</v>
      </c>
      <c r="J4" s="3" t="s">
        <v>150</v>
      </c>
      <c r="K4" s="3" t="s">
        <v>151</v>
      </c>
    </row>
    <row r="5" customFormat="false" ht="15" hidden="false" customHeight="true" outlineLevel="0" collapsed="false">
      <c r="A5" s="11" t="n">
        <v>1</v>
      </c>
      <c r="B5" s="11" t="n">
        <v>1</v>
      </c>
      <c r="C5" s="11" t="s">
        <v>152</v>
      </c>
      <c r="D5" s="11" t="s">
        <v>153</v>
      </c>
      <c r="E5" s="11" t="s">
        <v>154</v>
      </c>
      <c r="F5" s="12"/>
      <c r="G5" s="12"/>
      <c r="H5" s="14"/>
      <c r="I5" s="14"/>
      <c r="J5" s="15" t="str">
        <f aca="false">IF(AND(ISNUMBER(H5),ISNUMBER(I5)),H5-I5,"")</f>
        <v/>
      </c>
      <c r="K5" s="12"/>
    </row>
    <row r="6" customFormat="false" ht="15" hidden="false" customHeight="true" outlineLevel="0" collapsed="false">
      <c r="A6" s="11" t="n">
        <v>1</v>
      </c>
      <c r="B6" s="11" t="n">
        <v>2</v>
      </c>
      <c r="C6" s="11" t="s">
        <v>155</v>
      </c>
      <c r="D6" s="11" t="s">
        <v>156</v>
      </c>
      <c r="E6" s="11" t="s">
        <v>154</v>
      </c>
      <c r="F6" s="12"/>
      <c r="G6" s="12"/>
      <c r="H6" s="14"/>
      <c r="I6" s="14"/>
      <c r="J6" s="15" t="str">
        <f aca="false">IF(AND(ISNUMBER(H6),ISNUMBER(I6)),H6-I6,"")</f>
        <v/>
      </c>
      <c r="K6" s="12"/>
    </row>
    <row r="7" customFormat="false" ht="15" hidden="false" customHeight="true" outlineLevel="0" collapsed="false">
      <c r="A7" s="11" t="n">
        <v>1</v>
      </c>
      <c r="B7" s="11" t="n">
        <v>3</v>
      </c>
      <c r="C7" s="11" t="s">
        <v>157</v>
      </c>
      <c r="D7" s="11" t="s">
        <v>158</v>
      </c>
      <c r="E7" s="11" t="s">
        <v>159</v>
      </c>
      <c r="F7" s="12"/>
      <c r="G7" s="12"/>
      <c r="H7" s="14"/>
      <c r="I7" s="14"/>
      <c r="J7" s="15" t="str">
        <f aca="false">IF(AND(ISNUMBER(H7),ISNUMBER(I7)),H7-I7,"")</f>
        <v/>
      </c>
      <c r="K7" s="12"/>
    </row>
    <row r="8" customFormat="false" ht="15" hidden="false" customHeight="true" outlineLevel="0" collapsed="false">
      <c r="A8" s="11" t="n">
        <v>1</v>
      </c>
      <c r="B8" s="11" t="n">
        <v>4</v>
      </c>
      <c r="C8" s="11" t="s">
        <v>160</v>
      </c>
      <c r="D8" s="11" t="s">
        <v>161</v>
      </c>
      <c r="E8" s="11" t="s">
        <v>162</v>
      </c>
      <c r="F8" s="12"/>
      <c r="G8" s="12"/>
      <c r="H8" s="14"/>
      <c r="I8" s="14"/>
      <c r="J8" s="15" t="str">
        <f aca="false">IF(AND(ISNUMBER(H8),ISNUMBER(I8)),H8-I8,"")</f>
        <v/>
      </c>
      <c r="K8" s="12"/>
    </row>
    <row r="9" customFormat="false" ht="15" hidden="false" customHeight="true" outlineLevel="0" collapsed="false">
      <c r="A9" s="11" t="n">
        <v>1</v>
      </c>
      <c r="B9" s="11" t="n">
        <v>5</v>
      </c>
      <c r="C9" s="11" t="s">
        <v>163</v>
      </c>
      <c r="D9" s="11" t="s">
        <v>164</v>
      </c>
      <c r="E9" s="11" t="s">
        <v>165</v>
      </c>
      <c r="F9" s="12"/>
      <c r="G9" s="12"/>
      <c r="H9" s="14"/>
      <c r="I9" s="14"/>
      <c r="J9" s="15" t="str">
        <f aca="false">IF(AND(ISNUMBER(H9),ISNUMBER(I9)),H9-I9,"")</f>
        <v/>
      </c>
      <c r="K9" s="12"/>
    </row>
    <row r="10" customFormat="false" ht="15" hidden="false" customHeight="true" outlineLevel="0" collapsed="false">
      <c r="A10" s="11" t="n">
        <v>1</v>
      </c>
      <c r="B10" s="11" t="n">
        <v>6</v>
      </c>
      <c r="C10" s="11" t="s">
        <v>166</v>
      </c>
      <c r="D10" s="11" t="s">
        <v>167</v>
      </c>
      <c r="E10" s="11" t="s">
        <v>168</v>
      </c>
      <c r="F10" s="12"/>
      <c r="G10" s="12"/>
      <c r="H10" s="14"/>
      <c r="I10" s="14"/>
      <c r="J10" s="15" t="str">
        <f aca="false">IF(AND(ISNUMBER(H10),ISNUMBER(I10)),H10-I10,"")</f>
        <v/>
      </c>
      <c r="K10" s="12"/>
    </row>
    <row r="11" customFormat="false" ht="15" hidden="false" customHeight="true" outlineLevel="0" collapsed="false">
      <c r="A11" s="11" t="n">
        <v>1</v>
      </c>
      <c r="B11" s="11" t="n">
        <v>7</v>
      </c>
      <c r="C11" s="11" t="s">
        <v>169</v>
      </c>
      <c r="D11" s="11" t="s">
        <v>161</v>
      </c>
      <c r="E11" s="11" t="s">
        <v>170</v>
      </c>
      <c r="F11" s="12"/>
      <c r="G11" s="12"/>
      <c r="H11" s="14"/>
      <c r="I11" s="14"/>
      <c r="J11" s="15" t="str">
        <f aca="false">IF(AND(ISNUMBER(H11),ISNUMBER(I11)),H11-I11,"")</f>
        <v/>
      </c>
      <c r="K11" s="12"/>
    </row>
    <row r="12" customFormat="false" ht="15" hidden="false" customHeight="true" outlineLevel="0" collapsed="false">
      <c r="A12" s="11" t="n">
        <v>1</v>
      </c>
      <c r="B12" s="11" t="n">
        <v>8</v>
      </c>
      <c r="C12" s="11" t="s">
        <v>171</v>
      </c>
      <c r="D12" s="11" t="s">
        <v>161</v>
      </c>
      <c r="E12" s="11" t="s">
        <v>172</v>
      </c>
      <c r="F12" s="12"/>
      <c r="G12" s="12"/>
      <c r="H12" s="14"/>
      <c r="I12" s="14"/>
      <c r="J12" s="15" t="str">
        <f aca="false">IF(AND(ISNUMBER(H12),ISNUMBER(I12)),H12-I12,"")</f>
        <v/>
      </c>
      <c r="K12" s="12"/>
    </row>
    <row r="13" customFormat="false" ht="15" hidden="false" customHeight="true" outlineLevel="0" collapsed="false">
      <c r="A13" s="11" t="n">
        <v>1</v>
      </c>
      <c r="B13" s="11" t="n">
        <v>9</v>
      </c>
      <c r="C13" s="11" t="s">
        <v>173</v>
      </c>
      <c r="D13" s="11" t="s">
        <v>161</v>
      </c>
      <c r="E13" s="11" t="s">
        <v>174</v>
      </c>
      <c r="F13" s="12"/>
      <c r="G13" s="12"/>
      <c r="H13" s="14"/>
      <c r="I13" s="14"/>
      <c r="J13" s="15" t="str">
        <f aca="false">IF(AND(ISNUMBER(H13),ISNUMBER(I13)),H13-I13,"")</f>
        <v/>
      </c>
      <c r="K13" s="12"/>
    </row>
    <row r="14" customFormat="false" ht="15" hidden="false" customHeight="true" outlineLevel="0" collapsed="false">
      <c r="A14" s="11" t="n">
        <v>1</v>
      </c>
      <c r="B14" s="11" t="n">
        <v>10</v>
      </c>
      <c r="C14" s="11" t="s">
        <v>175</v>
      </c>
      <c r="D14" s="11" t="s">
        <v>161</v>
      </c>
      <c r="E14" s="11" t="s">
        <v>176</v>
      </c>
      <c r="F14" s="12"/>
      <c r="G14" s="12"/>
      <c r="H14" s="14"/>
      <c r="I14" s="14"/>
      <c r="J14" s="15" t="str">
        <f aca="false">IF(AND(ISNUMBER(H14),ISNUMBER(I14)),H14-I14,"")</f>
        <v/>
      </c>
      <c r="K14" s="12"/>
    </row>
    <row r="15" customFormat="false" ht="15" hidden="false" customHeight="true" outlineLevel="0" collapsed="false">
      <c r="A15" s="11" t="n">
        <v>2</v>
      </c>
      <c r="B15" s="11" t="n">
        <v>1</v>
      </c>
      <c r="C15" s="11" t="s">
        <v>177</v>
      </c>
      <c r="D15" s="11" t="s">
        <v>178</v>
      </c>
      <c r="E15" s="11"/>
      <c r="F15" s="12"/>
      <c r="G15" s="12"/>
      <c r="H15" s="14"/>
      <c r="I15" s="14"/>
      <c r="J15" s="15" t="str">
        <f aca="false">IF(AND(ISNUMBER(H15),ISNUMBER(I15)),H15-I15,"")</f>
        <v/>
      </c>
      <c r="K15" s="12"/>
    </row>
    <row r="16" customFormat="false" ht="15" hidden="false" customHeight="true" outlineLevel="0" collapsed="false">
      <c r="A16" s="11" t="n">
        <v>2</v>
      </c>
      <c r="B16" s="11" t="n">
        <v>2</v>
      </c>
      <c r="C16" s="11" t="s">
        <v>179</v>
      </c>
      <c r="D16" s="11" t="s">
        <v>180</v>
      </c>
      <c r="E16" s="11"/>
      <c r="F16" s="12"/>
      <c r="G16" s="12"/>
      <c r="H16" s="14"/>
      <c r="I16" s="14"/>
      <c r="J16" s="15" t="str">
        <f aca="false">IF(AND(ISNUMBER(H16),ISNUMBER(I16)),H16-I16,"")</f>
        <v/>
      </c>
      <c r="K16" s="12"/>
    </row>
    <row r="17" customFormat="false" ht="15" hidden="false" customHeight="true" outlineLevel="0" collapsed="false">
      <c r="A17" s="11" t="n">
        <v>2</v>
      </c>
      <c r="B17" s="11" t="n">
        <v>3</v>
      </c>
      <c r="C17" s="11" t="s">
        <v>181</v>
      </c>
      <c r="D17" s="11" t="s">
        <v>182</v>
      </c>
      <c r="E17" s="11" t="s">
        <v>183</v>
      </c>
      <c r="F17" s="12"/>
      <c r="G17" s="12"/>
      <c r="H17" s="14"/>
      <c r="I17" s="14"/>
      <c r="J17" s="15" t="str">
        <f aca="false">IF(AND(ISNUMBER(H17),ISNUMBER(I17)),H17-I17,"")</f>
        <v/>
      </c>
      <c r="K17" s="12"/>
    </row>
    <row r="18" customFormat="false" ht="15" hidden="false" customHeight="true" outlineLevel="0" collapsed="false">
      <c r="A18" s="11" t="n">
        <v>2</v>
      </c>
      <c r="B18" s="11" t="n">
        <v>4</v>
      </c>
      <c r="C18" s="11" t="s">
        <v>184</v>
      </c>
      <c r="D18" s="11" t="s">
        <v>182</v>
      </c>
      <c r="E18" s="11" t="s">
        <v>185</v>
      </c>
      <c r="F18" s="12"/>
      <c r="G18" s="12"/>
      <c r="H18" s="14"/>
      <c r="I18" s="14"/>
      <c r="J18" s="15" t="str">
        <f aca="false">IF(AND(ISNUMBER(H18),ISNUMBER(I18)),H18-I18,"")</f>
        <v/>
      </c>
      <c r="K18" s="12"/>
    </row>
    <row r="19" customFormat="false" ht="15" hidden="false" customHeight="true" outlineLevel="0" collapsed="false">
      <c r="A19" s="11" t="n">
        <v>2</v>
      </c>
      <c r="B19" s="11" t="n">
        <v>5</v>
      </c>
      <c r="C19" s="11" t="s">
        <v>186</v>
      </c>
      <c r="D19" s="11" t="s">
        <v>182</v>
      </c>
      <c r="E19" s="11" t="s">
        <v>187</v>
      </c>
      <c r="F19" s="12"/>
      <c r="G19" s="12"/>
      <c r="H19" s="14"/>
      <c r="I19" s="14"/>
      <c r="J19" s="15" t="str">
        <f aca="false">IF(AND(ISNUMBER(H19),ISNUMBER(I19)),H19-I19,"")</f>
        <v/>
      </c>
      <c r="K19" s="12"/>
    </row>
    <row r="20" customFormat="false" ht="15" hidden="false" customHeight="true" outlineLevel="0" collapsed="false">
      <c r="A20" s="11" t="n">
        <v>2</v>
      </c>
      <c r="B20" s="11" t="n">
        <v>6</v>
      </c>
      <c r="C20" s="11" t="s">
        <v>188</v>
      </c>
      <c r="D20" s="11" t="s">
        <v>182</v>
      </c>
      <c r="E20" s="11" t="s">
        <v>189</v>
      </c>
      <c r="F20" s="12"/>
      <c r="G20" s="12"/>
      <c r="H20" s="14"/>
      <c r="I20" s="14"/>
      <c r="J20" s="15" t="str">
        <f aca="false">IF(AND(ISNUMBER(H20),ISNUMBER(I20)),H20-I20,"")</f>
        <v/>
      </c>
      <c r="K20" s="12"/>
    </row>
    <row r="21" customFormat="false" ht="15" hidden="false" customHeight="true" outlineLevel="0" collapsed="false">
      <c r="A21" s="11" t="n">
        <v>2</v>
      </c>
      <c r="B21" s="11" t="n">
        <v>7</v>
      </c>
      <c r="C21" s="11" t="s">
        <v>190</v>
      </c>
      <c r="D21" s="11" t="s">
        <v>182</v>
      </c>
      <c r="E21" s="11" t="s">
        <v>191</v>
      </c>
      <c r="F21" s="12"/>
      <c r="G21" s="12"/>
      <c r="H21" s="14"/>
      <c r="I21" s="14"/>
      <c r="J21" s="15" t="str">
        <f aca="false">IF(AND(ISNUMBER(H21),ISNUMBER(I21)),H21-I21,"")</f>
        <v/>
      </c>
      <c r="K21" s="12"/>
    </row>
    <row r="22" customFormat="false" ht="15" hidden="false" customHeight="true" outlineLevel="0" collapsed="false">
      <c r="A22" s="11" t="n">
        <v>3</v>
      </c>
      <c r="B22" s="11" t="n">
        <v>1</v>
      </c>
      <c r="C22" s="11" t="s">
        <v>192</v>
      </c>
      <c r="D22" s="11"/>
      <c r="E22" s="11" t="s">
        <v>193</v>
      </c>
      <c r="F22" s="12"/>
      <c r="G22" s="12"/>
      <c r="H22" s="14"/>
      <c r="I22" s="14"/>
      <c r="J22" s="15" t="str">
        <f aca="false">IF(AND(ISNUMBER(H22),ISNUMBER(I22)),H22-I22,"")</f>
        <v/>
      </c>
      <c r="K22" s="12"/>
    </row>
    <row r="23" customFormat="false" ht="15" hidden="false" customHeight="true" outlineLevel="0" collapsed="false">
      <c r="A23" s="11" t="n">
        <v>3</v>
      </c>
      <c r="B23" s="11" t="n">
        <v>2</v>
      </c>
      <c r="C23" s="11" t="s">
        <v>194</v>
      </c>
      <c r="D23" s="11"/>
      <c r="E23" s="11" t="s">
        <v>195</v>
      </c>
      <c r="F23" s="12"/>
      <c r="G23" s="12"/>
      <c r="H23" s="14"/>
      <c r="I23" s="14"/>
      <c r="J23" s="15" t="str">
        <f aca="false">IF(AND(ISNUMBER(H23),ISNUMBER(I23)),H23-I23,"")</f>
        <v/>
      </c>
      <c r="K23" s="12"/>
    </row>
    <row r="24" customFormat="false" ht="15" hidden="false" customHeight="true" outlineLevel="0" collapsed="false">
      <c r="A24" s="11" t="n">
        <v>3</v>
      </c>
      <c r="B24" s="11" t="n">
        <v>3</v>
      </c>
      <c r="C24" s="11" t="s">
        <v>196</v>
      </c>
      <c r="D24" s="11"/>
      <c r="E24" s="11" t="s">
        <v>195</v>
      </c>
      <c r="F24" s="12"/>
      <c r="G24" s="12"/>
      <c r="H24" s="14"/>
      <c r="I24" s="14"/>
      <c r="J24" s="15" t="str">
        <f aca="false">IF(AND(ISNUMBER(H24),ISNUMBER(I24)),H24-I24,"")</f>
        <v/>
      </c>
      <c r="K24" s="12"/>
    </row>
    <row r="25" customFormat="false" ht="15" hidden="false" customHeight="true" outlineLevel="0" collapsed="false">
      <c r="A25" s="11" t="n">
        <v>3</v>
      </c>
      <c r="B25" s="11" t="n">
        <v>4</v>
      </c>
      <c r="C25" s="11" t="s">
        <v>197</v>
      </c>
      <c r="D25" s="11"/>
      <c r="E25" s="11" t="s">
        <v>193</v>
      </c>
      <c r="F25" s="12"/>
      <c r="G25" s="12"/>
      <c r="H25" s="14"/>
      <c r="I25" s="14"/>
      <c r="J25" s="15" t="str">
        <f aca="false">IF(AND(ISNUMBER(H25),ISNUMBER(I25)),H25-I25,"")</f>
        <v/>
      </c>
      <c r="K25" s="12"/>
    </row>
    <row r="26" customFormat="false" ht="15" hidden="false" customHeight="true" outlineLevel="0" collapsed="false">
      <c r="A26" s="11" t="n">
        <v>3</v>
      </c>
      <c r="B26" s="11" t="n">
        <v>5</v>
      </c>
      <c r="C26" s="11" t="s">
        <v>198</v>
      </c>
      <c r="D26" s="11"/>
      <c r="E26" s="11" t="s">
        <v>199</v>
      </c>
      <c r="F26" s="12"/>
      <c r="G26" s="12"/>
      <c r="H26" s="14"/>
      <c r="I26" s="14"/>
      <c r="J26" s="15" t="str">
        <f aca="false">IF(AND(ISNUMBER(H26),ISNUMBER(I26)),H26-I26,"")</f>
        <v/>
      </c>
      <c r="K26" s="12"/>
    </row>
    <row r="27" customFormat="false" ht="15" hidden="false" customHeight="true" outlineLevel="0" collapsed="false">
      <c r="A27" s="11" t="n">
        <v>3</v>
      </c>
      <c r="B27" s="11" t="n">
        <v>6</v>
      </c>
      <c r="C27" s="11" t="s">
        <v>200</v>
      </c>
      <c r="D27" s="11"/>
      <c r="E27" s="11" t="s">
        <v>201</v>
      </c>
      <c r="F27" s="12"/>
      <c r="G27" s="12"/>
      <c r="H27" s="14"/>
      <c r="I27" s="14"/>
      <c r="J27" s="15" t="str">
        <f aca="false">IF(AND(ISNUMBER(H27),ISNUMBER(I27)),H27-I27,"")</f>
        <v/>
      </c>
      <c r="K27" s="12"/>
    </row>
    <row r="28" customFormat="false" ht="15" hidden="false" customHeight="true" outlineLevel="0" collapsed="false">
      <c r="A28" s="11" t="n">
        <v>3</v>
      </c>
      <c r="B28" s="11" t="n">
        <v>7</v>
      </c>
      <c r="C28" s="11" t="s">
        <v>202</v>
      </c>
      <c r="D28" s="11"/>
      <c r="E28" s="11" t="s">
        <v>201</v>
      </c>
      <c r="F28" s="12"/>
      <c r="G28" s="12"/>
      <c r="H28" s="14"/>
      <c r="I28" s="14"/>
      <c r="J28" s="15" t="str">
        <f aca="false">IF(AND(ISNUMBER(H28),ISNUMBER(I28)),H28-I28,"")</f>
        <v/>
      </c>
      <c r="K28" s="12"/>
    </row>
    <row r="29" customFormat="false" ht="15" hidden="false" customHeight="true" outlineLevel="0" collapsed="false">
      <c r="A29" s="11" t="n">
        <v>3</v>
      </c>
      <c r="B29" s="11" t="n">
        <v>8</v>
      </c>
      <c r="C29" s="11" t="s">
        <v>203</v>
      </c>
      <c r="D29" s="11" t="s">
        <v>204</v>
      </c>
      <c r="E29" s="11"/>
      <c r="F29" s="12"/>
      <c r="G29" s="12"/>
      <c r="H29" s="14"/>
      <c r="I29" s="14"/>
      <c r="J29" s="15" t="str">
        <f aca="false">IF(AND(ISNUMBER(H29),ISNUMBER(I29)),H29-I29,"")</f>
        <v/>
      </c>
      <c r="K29" s="12"/>
    </row>
    <row r="30" customFormat="false" ht="15" hidden="false" customHeight="true" outlineLevel="0" collapsed="false">
      <c r="A30" s="11" t="n">
        <v>3</v>
      </c>
      <c r="B30" s="11" t="n">
        <v>9</v>
      </c>
      <c r="C30" s="11" t="s">
        <v>205</v>
      </c>
      <c r="D30" s="11"/>
      <c r="E30" s="11" t="s">
        <v>206</v>
      </c>
      <c r="F30" s="12"/>
      <c r="G30" s="12"/>
      <c r="H30" s="14"/>
      <c r="I30" s="14"/>
      <c r="J30" s="15" t="str">
        <f aca="false">IF(AND(ISNUMBER(H30),ISNUMBER(I30)),H30-I30,"")</f>
        <v/>
      </c>
      <c r="K30" s="12"/>
    </row>
    <row r="31" customFormat="false" ht="15" hidden="false" customHeight="true" outlineLevel="0" collapsed="false">
      <c r="A31" s="11" t="n">
        <v>3</v>
      </c>
      <c r="B31" s="11" t="n">
        <v>10</v>
      </c>
      <c r="C31" s="11" t="s">
        <v>207</v>
      </c>
      <c r="D31" s="11"/>
      <c r="E31" s="11" t="s">
        <v>208</v>
      </c>
      <c r="F31" s="12"/>
      <c r="G31" s="12"/>
      <c r="H31" s="14"/>
      <c r="I31" s="14"/>
      <c r="J31" s="15" t="str">
        <f aca="false">IF(AND(ISNUMBER(H31),ISNUMBER(I31)),H31-I31,"")</f>
        <v/>
      </c>
      <c r="K31" s="12"/>
    </row>
    <row r="33" customFormat="false" ht="15" hidden="false" customHeight="true" outlineLevel="0" collapsed="false">
      <c r="A33" s="10" t="s">
        <v>209</v>
      </c>
    </row>
  </sheetData>
  <autoFilter ref="A4:K31"/>
  <conditionalFormatting sqref="F5:G31">
    <cfRule type="cellIs" priority="2" operator="equal" aboveAverage="0" equalAverage="0" bottom="0" percent="0" rank="0" text="" dxfId="7">
      <formula>"Sí"</formula>
    </cfRule>
    <cfRule type="cellIs" priority="3" operator="equal" aboveAverage="0" equalAverage="0" bottom="0" percent="0" rank="0" text="" dxfId="10">
      <formula>"No"</formula>
    </cfRule>
    <cfRule type="cellIs" priority="4" operator="equal" aboveAverage="0" equalAverage="0" bottom="0" percent="0" rank="0" text="" dxfId="8">
      <formula>"Parcial"</formula>
    </cfRule>
  </conditionalFormatting>
  <dataValidations count="1">
    <dataValidation allowBlank="true" errorStyle="stop" operator="between" showDropDown="false" showErrorMessage="false" showInputMessage="false" sqref="F5:G31" type="list">
      <formula1>"Sí,No,Parcial"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2026-10-19T14:06:18Z</dcterms:created>
  <dc:creator>openpyxl</dc:creator>
  <dc:description/>
  <dc:language>en-US</dc:language>
  <cp:lastModifiedBy/>
  <dcterms:modified xsi:type="dcterms:W3CDTF">2026-10-19T15:17:22Z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