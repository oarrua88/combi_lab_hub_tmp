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2"/>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COUNTIF(Etapas!$B$5:$B$34,A4)</f>
        <v/>
      </c>
      <c r="C4" s="20">
        <f>COUNTIFS(Etapas!$B$5:$B$34,A4,Etapas!$F$5:$F$34,"Completada")</f>
        <v/>
      </c>
      <c r="D4" s="20">
        <f>COUNTIFS(Etapas!$B$5:$B$34,A4,Etapas!$F$5:$F$34,"En progreso")</f>
        <v/>
      </c>
      <c r="E4" s="20">
        <f>COUNTIFS(Etapas!$B$5:$B$34,A4,Etapas!$F$5:$F$34,"Pendiente")</f>
        <v/>
      </c>
      <c r="F4" s="21">
        <f>IF(B4=0,0,C4/B4)</f>
        <v/>
      </c>
    </row>
    <row r="5" ht="15" customHeight="1" s="17">
      <c r="A5" s="20" t="inlineStr">
        <is>
          <t>1. Relevamiento de SF</t>
        </is>
      </c>
      <c r="B5" s="20">
        <f>COUNTIF(Etapas!$B$5:$B$34,A5)</f>
        <v/>
      </c>
      <c r="C5" s="20">
        <f>COUNTIFS(Etapas!$B$5:$B$34,A5,Etapas!$F$5:$F$34,"Completada")</f>
        <v/>
      </c>
      <c r="D5" s="20">
        <f>COUNTIFS(Etapas!$B$5:$B$34,A5,Etapas!$F$5:$F$34,"En progreso")</f>
        <v/>
      </c>
      <c r="E5" s="20">
        <f>COUNTIFS(Etapas!$B$5:$B$34,A5,Etapas!$F$5:$F$34,"Pendiente")</f>
        <v/>
      </c>
      <c r="F5" s="21">
        <f>IF(B5=0,0,C5/B5)</f>
        <v/>
      </c>
    </row>
    <row r="6" ht="15" customHeight="1" s="17">
      <c r="A6" s="20" t="inlineStr">
        <is>
          <t>2. Descarga de código</t>
        </is>
      </c>
      <c r="B6" s="20">
        <f>COUNTIF(Etapas!$B$5:$B$34,A6)</f>
        <v/>
      </c>
      <c r="C6" s="20">
        <f>COUNTIFS(Etapas!$B$5:$B$34,A6,Etapas!$F$5:$F$34,"Completada")</f>
        <v/>
      </c>
      <c r="D6" s="20">
        <f>COUNTIFS(Etapas!$B$5:$B$34,A6,Etapas!$F$5:$F$34,"En progreso")</f>
        <v/>
      </c>
      <c r="E6" s="20">
        <f>COUNTIFS(Etapas!$B$5:$B$34,A6,Etapas!$F$5:$F$34,"Pendiente")</f>
        <v/>
      </c>
      <c r="F6" s="21">
        <f>IF(B6=0,0,C6/B6)</f>
        <v/>
      </c>
    </row>
    <row r="7" ht="15" customHeight="1" s="17">
      <c r="A7" s="20" t="inlineStr">
        <is>
          <t>3. Ranking para probar sin reentrenar</t>
        </is>
      </c>
      <c r="B7" s="20">
        <f>COUNTIF(Etapas!$B$5:$B$34,A7)</f>
        <v/>
      </c>
      <c r="C7" s="20">
        <f>COUNTIFS(Etapas!$B$5:$B$34,A7,Etapas!$F$5:$F$34,"Completada")</f>
        <v/>
      </c>
      <c r="D7" s="20">
        <f>COUNTIFS(Etapas!$B$5:$B$34,A7,Etapas!$F$5:$F$34,"En progreso")</f>
        <v/>
      </c>
      <c r="E7" s="20">
        <f>COUNTIFS(Etapas!$B$5:$B$34,A7,Etapas!$F$5:$F$34,"Pendiente")</f>
        <v/>
      </c>
      <c r="F7" s="21">
        <f>IF(B7=0,0,C7/B7)</f>
        <v/>
      </c>
    </row>
    <row r="8" ht="15" customHeight="1" s="17">
      <c r="A8" s="20" t="inlineStr">
        <is>
          <t>4. Framework CombiLabHUB</t>
        </is>
      </c>
      <c r="B8" s="20">
        <f>COUNTIF(Etapas!$B$5:$B$34,A8)</f>
        <v/>
      </c>
      <c r="C8" s="20">
        <f>COUNTIFS(Etapas!$B$5:$B$34,A8,Etapas!$F$5:$F$34,"Completada")</f>
        <v/>
      </c>
      <c r="D8" s="20">
        <f>COUNTIFS(Etapas!$B$5:$B$34,A8,Etapas!$F$5:$F$34,"En progreso")</f>
        <v/>
      </c>
      <c r="E8" s="20">
        <f>COUNTIFS(Etapas!$B$5:$B$34,A8,Etapas!$F$5:$F$34,"Pendiente")</f>
        <v/>
      </c>
      <c r="F8" s="21">
        <f>IF(B8=0,0,C8/B8)</f>
        <v/>
      </c>
    </row>
    <row r="9" ht="15" customHeight="1" s="17">
      <c r="A9" s="20" t="inlineStr">
        <is>
          <t>5. Pruebas Nivel 1 (CPU, modelo listo)</t>
        </is>
      </c>
      <c r="B9" s="20">
        <f>COUNTIF(Etapas!$B$5:$B$34,A9)</f>
        <v/>
      </c>
      <c r="C9" s="20">
        <f>COUNTIFS(Etapas!$B$5:$B$34,A9,Etapas!$F$5:$F$34,"Completada")</f>
        <v/>
      </c>
      <c r="D9" s="20">
        <f>COUNTIFS(Etapas!$B$5:$B$34,A9,Etapas!$F$5:$F$34,"En progreso")</f>
        <v/>
      </c>
      <c r="E9" s="20">
        <f>COUNTIFS(Etapas!$B$5:$B$34,A9,Etapas!$F$5:$F$34,"Pendiente")</f>
        <v/>
      </c>
      <c r="F9" s="21">
        <f>IF(B9=0,0,C9/B9)</f>
        <v/>
      </c>
    </row>
    <row r="10" ht="15" customHeight="1" s="17">
      <c r="A10" s="20" t="inlineStr">
        <is>
          <t>6. Pruebas Nivel 2 (pasos extra)</t>
        </is>
      </c>
      <c r="B10" s="20">
        <f>COUNTIF(Etapas!$B$5:$B$34,A10)</f>
        <v/>
      </c>
      <c r="C10" s="20">
        <f>COUNTIFS(Etapas!$B$5:$B$34,A10,Etapas!$F$5:$F$34,"Completada")</f>
        <v/>
      </c>
      <c r="D10" s="20">
        <f>COUNTIFS(Etapas!$B$5:$B$34,A10,Etapas!$F$5:$F$34,"En progreso")</f>
        <v/>
      </c>
      <c r="E10" s="20">
        <f>COUNTIFS(Etapas!$B$5:$B$34,A10,Etapas!$F$5:$F$34,"Pendiente")</f>
        <v/>
      </c>
      <c r="F10" s="21">
        <f>IF(B10=0,0,C10/B10)</f>
        <v/>
      </c>
    </row>
    <row r="11" ht="15" customHeight="1" s="17">
      <c r="A11" s="20" t="inlineStr">
        <is>
          <t>7. Pruebas Nivel 3 (pesadas/complicadas)</t>
        </is>
      </c>
      <c r="B11" s="20">
        <f>COUNTIF(Etapas!$B$5:$B$34,A11)</f>
        <v/>
      </c>
      <c r="C11" s="20">
        <f>COUNTIFS(Etapas!$B$5:$B$34,A11,Etapas!$F$5:$F$34,"Completada")</f>
        <v/>
      </c>
      <c r="D11" s="20">
        <f>COUNTIFS(Etapas!$B$5:$B$34,A11,Etapas!$F$5:$F$34,"En progreso")</f>
        <v/>
      </c>
      <c r="E11" s="20">
        <f>COUNTIFS(Etapas!$B$5:$B$34,A11,Etapas!$F$5:$F$34,"Pendiente")</f>
        <v/>
      </c>
      <c r="F11" s="21">
        <f>IF(B11=0,0,C11/B11)</f>
        <v/>
      </c>
    </row>
    <row r="12" ht="15" customHeight="1" s="17">
      <c r="A12" s="20" t="inlineStr">
        <is>
          <t>8. Evaluación en CASF-2016</t>
        </is>
      </c>
      <c r="B12" s="20">
        <f>COUNTIF(Etapas!$B$5:$B$34,A12)</f>
        <v/>
      </c>
      <c r="C12" s="20">
        <f>COUNTIFS(Etapas!$B$5:$B$34,A12,Etapas!$F$5:$F$34,"Completada")</f>
        <v/>
      </c>
      <c r="D12" s="20">
        <f>COUNTIFS(Etapas!$B$5:$B$34,A12,Etapas!$F$5:$F$34,"En progreso")</f>
        <v/>
      </c>
      <c r="E12" s="20">
        <f>COUNTIFS(Etapas!$B$5:$B$34,A12,Etapas!$F$5:$F$34,"Pendiente")</f>
        <v/>
      </c>
      <c r="F12" s="21">
        <f>IF(B12=0,0,C12/B12)</f>
        <v/>
      </c>
    </row>
    <row r="13" ht="15" customHeight="1" s="17">
      <c r="A13" s="20" t="inlineStr">
        <is>
          <t>9. Interfaz</t>
        </is>
      </c>
      <c r="B13" s="20">
        <f>COUNTIF(Etapas!$B$5:$B$34,A13)</f>
        <v/>
      </c>
      <c r="C13" s="20">
        <f>COUNTIFS(Etapas!$B$5:$B$34,A13,Etapas!$F$5:$F$34,"Completada")</f>
        <v/>
      </c>
      <c r="D13" s="20">
        <f>COUNTIFS(Etapas!$B$5:$B$34,A13,Etapas!$F$5:$F$34,"En progreso")</f>
        <v/>
      </c>
      <c r="E13" s="20">
        <f>COUNTIFS(Etapas!$B$5:$B$34,A13,Etapas!$F$5:$F$34,"Pendiente")</f>
        <v/>
      </c>
      <c r="F13" s="21">
        <f>IF(B13=0,0,C13/B13)</f>
        <v/>
      </c>
    </row>
    <row r="14" ht="15" customHeight="1" s="17">
      <c r="A14" s="22" t="inlineStr">
        <is>
          <t>Total</t>
        </is>
      </c>
      <c r="B14" s="22">
        <f>SUM(B4:B13)</f>
        <v/>
      </c>
      <c r="C14" s="22">
        <f>SUM(C4:C13)</f>
        <v/>
      </c>
      <c r="D14" s="22">
        <f>SUM(D4:D13)</f>
        <v/>
      </c>
      <c r="E14" s="22">
        <f>SUM(E4:E13)</f>
        <v/>
      </c>
      <c r="F14" s="23">
        <f>IF(B14=0,0,C14/B14)</f>
        <v/>
      </c>
    </row>
    <row r="15"/>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3"/>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Pendiente</t>
        </is>
      </c>
      <c r="G28" s="28" t="n"/>
      <c r="H28" s="29" t="n"/>
      <c r="I28" s="29" t="n"/>
      <c r="J28" s="28" t="inlineStr">
        <is>
          <t>21/10/2026: se avanza con el Nivel 2 preparando cada SF solo hasta el test con 1a30</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RFL-Score,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3"/>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Release de GitHub</t>
        </is>
      </c>
      <c r="E15" s="27" t="n"/>
      <c r="F15" s="28" t="n"/>
      <c r="G15" s="28" t="n"/>
      <c r="H15" s="30" t="n"/>
      <c r="I15" s="30" t="n"/>
      <c r="J15" s="31">
        <f>IF(AND(ISNUMBER(H15),ISNUMBER(I15)),H15-I15,"")</f>
        <v/>
      </c>
      <c r="K15" s="28" t="n"/>
    </row>
    <row r="16" ht="15" customHeight="1" s="17">
      <c r="A16" s="27" t="n">
        <v>2</v>
      </c>
      <c r="B16" s="27" t="n">
        <v>2</v>
      </c>
      <c r="C16" s="27" t="inlineStr">
        <is>
          <t>HAC-Net</t>
        </is>
      </c>
      <c r="D16" s="27" t="inlineStr">
        <is>
          <t>pip HACNet</t>
        </is>
      </c>
      <c r="E16" s="27" t="n"/>
      <c r="F16" s="28" t="n"/>
      <c r="G16" s="28" t="n"/>
      <c r="H16" s="30" t="n"/>
      <c r="I16" s="30" t="n"/>
      <c r="J16" s="31">
        <f>IF(AND(ISNUMBER(H16),ISNUMBER(I16)),H16-I16,"")</f>
        <v/>
      </c>
      <c r="K16" s="28" t="n"/>
    </row>
    <row r="17" ht="15" customHeight="1" s="17">
      <c r="A17" s="27" t="n">
        <v>2</v>
      </c>
      <c r="B17" s="27" t="n">
        <v>3</v>
      </c>
      <c r="C17" s="27" t="inlineStr">
        <is>
          <t>delta_LinF9_XGB</t>
        </is>
      </c>
      <c r="D17" s="27" t="inlineStr">
        <is>
          <t>En el repo</t>
        </is>
      </c>
      <c r="E17" s="27" t="inlineStr">
        <is>
          <t>Docker (MGLTools/MSMS)</t>
        </is>
      </c>
      <c r="F17" s="28" t="n"/>
      <c r="G17" s="28" t="n"/>
      <c r="H17" s="30" t="n"/>
      <c r="I17" s="30" t="n"/>
      <c r="J17" s="31">
        <f>IF(AND(ISNUMBER(H17),ISNUMBER(I17)),H17-I17,"")</f>
        <v/>
      </c>
      <c r="K17" s="28" t="n"/>
    </row>
    <row r="18" ht="15" customHeight="1" s="17">
      <c r="A18" s="27" t="n">
        <v>2</v>
      </c>
      <c r="B18" s="27" t="n">
        <v>4</v>
      </c>
      <c r="C18" s="27" t="inlineStr">
        <is>
          <t>GraphscoreDTA</t>
        </is>
      </c>
      <c r="D18" s="27" t="inlineStr">
        <is>
          <t>En el repo</t>
        </is>
      </c>
      <c r="E18" s="27" t="inlineStr">
        <is>
          <t>Calcular términos Vina</t>
        </is>
      </c>
      <c r="F18" s="28" t="n"/>
      <c r="G18" s="28" t="n"/>
      <c r="H18" s="30" t="n"/>
      <c r="I18" s="30" t="n"/>
      <c r="J18" s="31">
        <f>IF(AND(ISNUMBER(H18),ISNUMBER(I18)),H18-I18,"")</f>
        <v/>
      </c>
      <c r="K18" s="28" t="n"/>
    </row>
    <row r="19" ht="15" customHeight="1" s="17">
      <c r="A19" s="27" t="n">
        <v>2</v>
      </c>
      <c r="B19" s="27" t="n">
        <v>5</v>
      </c>
      <c r="C19" s="27" t="inlineStr">
        <is>
          <t>IGModel</t>
        </is>
      </c>
      <c r="D19" s="27" t="inlineStr">
        <is>
          <t>En el repo</t>
        </is>
      </c>
      <c r="E19" s="27" t="inlineStr">
        <is>
          <t>DGL</t>
        </is>
      </c>
      <c r="F19" s="28" t="n"/>
      <c r="G19" s="28" t="n"/>
      <c r="H19" s="30" t="n"/>
      <c r="I19" s="30" t="n"/>
      <c r="J19" s="31">
        <f>IF(AND(ISNUMBER(H19),ISNUMBER(I19)),H19-I19,"")</f>
        <v/>
      </c>
      <c r="K19" s="28" t="n"/>
    </row>
    <row r="20" ht="15" customHeight="1" s="17">
      <c r="A20" s="27" t="n">
        <v>2</v>
      </c>
      <c r="B20" s="27" t="n">
        <v>6</v>
      </c>
      <c r="C20" s="27" t="inlineStr">
        <is>
          <t>ConBAP</t>
        </is>
      </c>
      <c r="D20" s="27" t="inlineStr">
        <is>
          <t>En el repo</t>
        </is>
      </c>
      <c r="E20" s="27" t="inlineStr">
        <is>
          <t>GVP, PyMOL</t>
        </is>
      </c>
      <c r="F20" s="28" t="n"/>
      <c r="G20" s="28" t="n"/>
      <c r="H20" s="30" t="n"/>
      <c r="I20" s="30" t="n"/>
      <c r="J20" s="31">
        <f>IF(AND(ISNUMBER(H20),ISNUMBER(I20)),H20-I20,"")</f>
        <v/>
      </c>
      <c r="K20" s="28" t="n"/>
    </row>
    <row r="21" ht="15" customHeight="1" s="17">
      <c r="A21" s="27" t="n">
        <v>2</v>
      </c>
      <c r="B21" s="27" t="n">
        <v>7</v>
      </c>
      <c r="C21" s="27" t="inlineStr">
        <is>
          <t>CPIScore</t>
        </is>
      </c>
      <c r="D21" s="27" t="inlineStr">
        <is>
          <t>En el repo</t>
        </is>
      </c>
      <c r="E21" s="27" t="inlineStr">
        <is>
          <t>Sin instrucciones de uso</t>
        </is>
      </c>
      <c r="F21" s="28" t="n"/>
      <c r="G21" s="28" t="n"/>
      <c r="H21" s="30" t="n"/>
      <c r="I21" s="30" t="n"/>
      <c r="J21" s="31">
        <f>IF(AND(ISNUMBER(H21),ISNUMBER(I21)),H21-I21,"")</f>
        <v/>
      </c>
      <c r="K21" s="28" t="n"/>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2026-10-21T12:35:03Z</dcterms:modified>
  <cp:revision>0</cp:revision>
</cp:coreProperties>
</file>