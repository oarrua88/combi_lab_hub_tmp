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SF'!$A$4:$S$42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yyyy\-mm\-dd\ h:mm:ss"/>
    <numFmt numFmtId="166" formatCode="0.0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sz val="9"/>
    </font>
    <font>
      <name val="Arial"/>
      <charset val="1"/>
      <family val="0"/>
      <i val="1"/>
      <color rgb="FF595959"/>
      <sz val="11"/>
    </font>
    <font>
      <name val="Arial"/>
      <family val="2"/>
      <sz val="10"/>
    </font>
  </fonts>
  <fills count="5">
    <fill>
      <patternFill/>
    </fill>
    <fill>
      <patternFill patternType="gray125"/>
    </fill>
    <fill>
      <patternFill patternType="solid">
        <fgColor rgb="FF1F4E78"/>
        <bgColor rgb="FF003366"/>
      </patternFill>
    </fill>
    <fill>
      <patternFill patternType="solid">
        <fgColor rgb="FFFFF2CC"/>
        <bgColor rgb="FFF2F2F2"/>
      </patternFill>
    </fill>
    <fill>
      <patternFill patternType="solid">
        <fgColor rgb="FFE2EFDA"/>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6" fillId="4"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
      <fill>
        <patternFill patternType="solid">
          <fgColor rgb="FFE2EFDA"/>
          <bgColor rgb="FF000000"/>
        </patternFill>
      </fill>
    </dxf>
    <dxf>
      <fill>
        <patternFill patternType="solid">
          <fgColor rgb="FFFFC7CE"/>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Unknown Author</author>
  </authors>
  <commentList>
    <comment ref="S4" authorId="0" shapeId="0">
      <text>
        <t>Lista 1 = SF relevadas antes (Eaves et al. 2026 + Su et al. 2019). Lista 2 = SF nuevas de Apresentação.pdf (revisión sistemática de Transformers, diap. 22–23). "1 y 2" = aparece en ambas.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21" min="1" max="1"/>
    <col width="10" customWidth="1" style="21" min="2" max="2"/>
    <col width="13" customWidth="1" style="21" min="3" max="4"/>
    <col width="12" customWidth="1" style="21" min="5" max="5"/>
    <col width="11" customWidth="1" style="21" min="6" max="6"/>
  </cols>
  <sheetData>
    <row r="1" ht="17.25" customHeight="1" s="22">
      <c r="A1" s="23" t="inlineStr">
        <is>
          <t>CombiLabHUB – Resumen de avance</t>
        </is>
      </c>
    </row>
    <row r="3" ht="26.25" customHeight="1" s="22">
      <c r="A3" s="24" t="inlineStr">
        <is>
          <t>Etapa</t>
        </is>
      </c>
      <c r="B3" s="24" t="inlineStr">
        <is>
          <t>Tareas</t>
        </is>
      </c>
      <c r="C3" s="24" t="inlineStr">
        <is>
          <t>Completadas</t>
        </is>
      </c>
      <c r="D3" s="24" t="inlineStr">
        <is>
          <t>En progreso</t>
        </is>
      </c>
      <c r="E3" s="24" t="inlineStr">
        <is>
          <t>Pendientes</t>
        </is>
      </c>
      <c r="F3" s="24" t="inlineStr">
        <is>
          <t>% avance</t>
        </is>
      </c>
    </row>
    <row r="4" ht="15" customHeight="1" s="22">
      <c r="A4" s="25" t="inlineStr">
        <is>
          <t>0. Preparación del entorno</t>
        </is>
      </c>
      <c r="B4" s="25">
        <f>COUNTIF(Etapas!$B$5:$B$60,A4)</f>
        <v/>
      </c>
      <c r="C4" s="25">
        <f>COUNTIFS(Etapas!$B$5:$B$60,A4,Etapas!$F$5:$F$60,"Completada")</f>
        <v/>
      </c>
      <c r="D4" s="25">
        <f>COUNTIFS(Etapas!$B$5:$B$60,A4,Etapas!$F$5:$F$60,"En progreso")</f>
        <v/>
      </c>
      <c r="E4" s="25">
        <f>COUNTIFS(Etapas!$B$5:$B$60,A4,Etapas!$F$5:$F$60,"Pendiente")</f>
        <v/>
      </c>
      <c r="F4" s="26">
        <f>IF(B4=0,0,C4/B4)</f>
        <v/>
      </c>
    </row>
    <row r="5" ht="15" customHeight="1" s="22">
      <c r="A5" s="25" t="inlineStr">
        <is>
          <t>1. Relevamiento de SF</t>
        </is>
      </c>
      <c r="B5" s="25">
        <f>COUNTIF(Etapas!$B$5:$B$60,A5)</f>
        <v/>
      </c>
      <c r="C5" s="25">
        <f>COUNTIFS(Etapas!$B$5:$B$60,A5,Etapas!$F$5:$F$60,"Completada")</f>
        <v/>
      </c>
      <c r="D5" s="25">
        <f>COUNTIFS(Etapas!$B$5:$B$60,A5,Etapas!$F$5:$F$60,"En progreso")</f>
        <v/>
      </c>
      <c r="E5" s="25">
        <f>COUNTIFS(Etapas!$B$5:$B$60,A5,Etapas!$F$5:$F$60,"Pendiente")</f>
        <v/>
      </c>
      <c r="F5" s="26">
        <f>IF(B5=0,0,C5/B5)</f>
        <v/>
      </c>
    </row>
    <row r="6" ht="15" customHeight="1" s="22">
      <c r="A6" s="25" t="inlineStr">
        <is>
          <t>2. Descarga de código</t>
        </is>
      </c>
      <c r="B6" s="25">
        <f>COUNTIF(Etapas!$B$5:$B$60,A6)</f>
        <v/>
      </c>
      <c r="C6" s="25">
        <f>COUNTIFS(Etapas!$B$5:$B$60,A6,Etapas!$F$5:$F$60,"Completada")</f>
        <v/>
      </c>
      <c r="D6" s="25">
        <f>COUNTIFS(Etapas!$B$5:$B$60,A6,Etapas!$F$5:$F$60,"En progreso")</f>
        <v/>
      </c>
      <c r="E6" s="25">
        <f>COUNTIFS(Etapas!$B$5:$B$60,A6,Etapas!$F$5:$F$60,"Pendiente")</f>
        <v/>
      </c>
      <c r="F6" s="26">
        <f>IF(B6=0,0,C6/B6)</f>
        <v/>
      </c>
    </row>
    <row r="7" ht="15" customHeight="1" s="22">
      <c r="A7" s="25" t="inlineStr">
        <is>
          <t>3. Ranking para probar sin reentrenar</t>
        </is>
      </c>
      <c r="B7" s="25">
        <f>COUNTIF(Etapas!$B$5:$B$60,A7)</f>
        <v/>
      </c>
      <c r="C7" s="25">
        <f>COUNTIFS(Etapas!$B$5:$B$60,A7,Etapas!$F$5:$F$60,"Completada")</f>
        <v/>
      </c>
      <c r="D7" s="25">
        <f>COUNTIFS(Etapas!$B$5:$B$60,A7,Etapas!$F$5:$F$60,"En progreso")</f>
        <v/>
      </c>
      <c r="E7" s="25">
        <f>COUNTIFS(Etapas!$B$5:$B$60,A7,Etapas!$F$5:$F$60,"Pendiente")</f>
        <v/>
      </c>
      <c r="F7" s="26">
        <f>IF(B7=0,0,C7/B7)</f>
        <v/>
      </c>
    </row>
    <row r="8" ht="15" customHeight="1" s="22">
      <c r="A8" s="25" t="inlineStr">
        <is>
          <t>4. Framework CombiLabHUB</t>
        </is>
      </c>
      <c r="B8" s="25">
        <f>COUNTIF(Etapas!$B$5:$B$60,A8)</f>
        <v/>
      </c>
      <c r="C8" s="25">
        <f>COUNTIFS(Etapas!$B$5:$B$60,A8,Etapas!$F$5:$F$60,"Completada")</f>
        <v/>
      </c>
      <c r="D8" s="25">
        <f>COUNTIFS(Etapas!$B$5:$B$60,A8,Etapas!$F$5:$F$60,"En progreso")</f>
        <v/>
      </c>
      <c r="E8" s="25">
        <f>COUNTIFS(Etapas!$B$5:$B$60,A8,Etapas!$F$5:$F$60,"Pendiente")</f>
        <v/>
      </c>
      <c r="F8" s="26">
        <f>IF(B8=0,0,C8/B8)</f>
        <v/>
      </c>
    </row>
    <row r="9" ht="15" customHeight="1" s="22">
      <c r="A9" s="25" t="inlineStr">
        <is>
          <t>5. Pruebas Nivel 1 (CPU, modelo listo)</t>
        </is>
      </c>
      <c r="B9" s="25">
        <f>COUNTIF(Etapas!$B$5:$B$60,A9)</f>
        <v/>
      </c>
      <c r="C9" s="25">
        <f>COUNTIFS(Etapas!$B$5:$B$60,A9,Etapas!$F$5:$F$60,"Completada")</f>
        <v/>
      </c>
      <c r="D9" s="25">
        <f>COUNTIFS(Etapas!$B$5:$B$60,A9,Etapas!$F$5:$F$60,"En progreso")</f>
        <v/>
      </c>
      <c r="E9" s="25">
        <f>COUNTIFS(Etapas!$B$5:$B$60,A9,Etapas!$F$5:$F$60,"Pendiente")</f>
        <v/>
      </c>
      <c r="F9" s="26">
        <f>IF(B9=0,0,C9/B9)</f>
        <v/>
      </c>
    </row>
    <row r="10" ht="15" customHeight="1" s="22">
      <c r="A10" s="25" t="inlineStr">
        <is>
          <t>6. Pruebas Nivel 2 (pasos extra)</t>
        </is>
      </c>
      <c r="B10" s="25">
        <f>COUNTIF(Etapas!$B$5:$B$60,A10)</f>
        <v/>
      </c>
      <c r="C10" s="25">
        <f>COUNTIFS(Etapas!$B$5:$B$60,A10,Etapas!$F$5:$F$60,"Completada")</f>
        <v/>
      </c>
      <c r="D10" s="25">
        <f>COUNTIFS(Etapas!$B$5:$B$60,A10,Etapas!$F$5:$F$60,"En progreso")</f>
        <v/>
      </c>
      <c r="E10" s="25">
        <f>COUNTIFS(Etapas!$B$5:$B$60,A10,Etapas!$F$5:$F$60,"Pendiente")</f>
        <v/>
      </c>
      <c r="F10" s="26">
        <f>IF(B10=0,0,C10/B10)</f>
        <v/>
      </c>
    </row>
    <row r="11" ht="15" customHeight="1" s="22">
      <c r="A11" s="25" t="inlineStr">
        <is>
          <t>7. Pruebas Nivel 3 (pesadas/complicadas)</t>
        </is>
      </c>
      <c r="B11" s="25">
        <f>COUNTIF(Etapas!$B$5:$B$60,A11)</f>
        <v/>
      </c>
      <c r="C11" s="25">
        <f>COUNTIFS(Etapas!$B$5:$B$60,A11,Etapas!$F$5:$F$60,"Completada")</f>
        <v/>
      </c>
      <c r="D11" s="25">
        <f>COUNTIFS(Etapas!$B$5:$B$60,A11,Etapas!$F$5:$F$60,"En progreso")</f>
        <v/>
      </c>
      <c r="E11" s="25">
        <f>COUNTIFS(Etapas!$B$5:$B$60,A11,Etapas!$F$5:$F$60,"Pendiente")</f>
        <v/>
      </c>
      <c r="F11" s="26">
        <f>IF(B11=0,0,C11/B11)</f>
        <v/>
      </c>
    </row>
    <row r="12" ht="15" customHeight="1" s="22">
      <c r="A12" s="25" t="inlineStr">
        <is>
          <t>8. Evaluación en CASF-2016</t>
        </is>
      </c>
      <c r="B12" s="25">
        <f>COUNTIF(Etapas!$B$5:$B$60,A12)</f>
        <v/>
      </c>
      <c r="C12" s="25">
        <f>COUNTIFS(Etapas!$B$5:$B$60,A12,Etapas!$F$5:$F$60,"Completada")</f>
        <v/>
      </c>
      <c r="D12" s="25">
        <f>COUNTIFS(Etapas!$B$5:$B$60,A12,Etapas!$F$5:$F$60,"En progreso")</f>
        <v/>
      </c>
      <c r="E12" s="25">
        <f>COUNTIFS(Etapas!$B$5:$B$60,A12,Etapas!$F$5:$F$60,"Pendiente")</f>
        <v/>
      </c>
      <c r="F12" s="26">
        <f>IF(B12=0,0,C12/B12)</f>
        <v/>
      </c>
    </row>
    <row r="13" ht="15" customHeight="1" s="22">
      <c r="A13" s="25" t="inlineStr">
        <is>
          <t>9. Interfaz</t>
        </is>
      </c>
      <c r="B13" s="25">
        <f>COUNTIF(Etapas!$B$5:$B$60,A13)</f>
        <v/>
      </c>
      <c r="C13" s="25">
        <f>COUNTIFS(Etapas!$B$5:$B$60,A13,Etapas!$F$5:$F$60,"Completada")</f>
        <v/>
      </c>
      <c r="D13" s="25">
        <f>COUNTIFS(Etapas!$B$5:$B$60,A13,Etapas!$F$5:$F$60,"En progreso")</f>
        <v/>
      </c>
      <c r="E13" s="25">
        <f>COUNTIFS(Etapas!$B$5:$B$60,A13,Etapas!$F$5:$F$60,"Pendiente")</f>
        <v/>
      </c>
      <c r="F13" s="26">
        <f>IF(B13=0,0,C13/B13)</f>
        <v/>
      </c>
    </row>
    <row r="14" ht="15" customHeight="1" s="22">
      <c r="A14" s="27" t="inlineStr">
        <is>
          <t>Total</t>
        </is>
      </c>
      <c r="B14" s="27">
        <f>SUM(B4:B13)</f>
        <v/>
      </c>
      <c r="C14" s="27">
        <f>SUM(C4:C13)</f>
        <v/>
      </c>
      <c r="D14" s="27">
        <f>SUM(D4:D13)</f>
        <v/>
      </c>
      <c r="E14" s="27">
        <f>SUM(E4:E13)</f>
        <v/>
      </c>
      <c r="F14" s="28">
        <f>IF(B14=0,0,C14/B14)</f>
        <v/>
      </c>
    </row>
    <row r="16" ht="15" customHeight="1" s="22">
      <c r="A16" s="29" t="inlineStr">
        <is>
          <t>Scoring functions</t>
        </is>
      </c>
    </row>
    <row r="17" ht="15" customHeight="1" s="22">
      <c r="A17" s="24" t="inlineStr">
        <is>
          <t>Nivel</t>
        </is>
      </c>
      <c r="B17" s="24" t="inlineStr">
        <is>
          <t>SF</t>
        </is>
      </c>
      <c r="C17" s="24" t="inlineStr">
        <is>
          <t>Instaladas</t>
        </is>
      </c>
      <c r="D17" s="24" t="inlineStr">
        <is>
          <t>Corren</t>
        </is>
      </c>
      <c r="E17" s="24" t="inlineStr">
        <is>
          <t>Con PCC</t>
        </is>
      </c>
      <c r="F17" s="30" t="n"/>
    </row>
    <row r="18" ht="15" customHeight="1" s="22">
      <c r="A18" s="25" t="inlineStr">
        <is>
          <t>Nivel 1</t>
        </is>
      </c>
      <c r="B18" s="25">
        <f>COUNTIF('Estado SF'!$A$5:$A$60,1)</f>
        <v/>
      </c>
      <c r="C18" s="25">
        <f>COUNTIFS('Estado SF'!$A$5:$A$60,1,'Estado SF'!$F$5:$F$60,"Sí")</f>
        <v/>
      </c>
      <c r="D18" s="25">
        <f>COUNTIFS('Estado SF'!$A$5:$A$60,1,'Estado SF'!$G$5:$G$60,"Sí")</f>
        <v/>
      </c>
      <c r="E18" s="25">
        <f>SUMPRODUCT(('Estado SF'!$A$5:$A$60=1)*ISNUMBER('Estado SF'!$H$5:$H$60))</f>
        <v/>
      </c>
    </row>
    <row r="19" ht="15" customHeight="1" s="22">
      <c r="A19" s="25" t="inlineStr">
        <is>
          <t>Nivel 2</t>
        </is>
      </c>
      <c r="B19" s="25">
        <f>COUNTIF('Estado SF'!$A$5:$A$60,2)</f>
        <v/>
      </c>
      <c r="C19" s="25">
        <f>COUNTIFS('Estado SF'!$A$5:$A$60,2,'Estado SF'!$F$5:$F$60,"Sí")</f>
        <v/>
      </c>
      <c r="D19" s="25">
        <f>COUNTIFS('Estado SF'!$A$5:$A$60,2,'Estado SF'!$G$5:$G$60,"Sí")</f>
        <v/>
      </c>
      <c r="E19" s="25">
        <f>SUMPRODUCT(('Estado SF'!$A$5:$A$60=2)*ISNUMBER('Estado SF'!$H$5:$H$60))</f>
        <v/>
      </c>
    </row>
    <row r="20" ht="15" customHeight="1" s="22">
      <c r="A20" s="25" t="inlineStr">
        <is>
          <t>Nivel 3</t>
        </is>
      </c>
      <c r="B20" s="25">
        <f>COUNTIF('Estado SF'!$A$5:$A$60,3)</f>
        <v/>
      </c>
      <c r="C20" s="25">
        <f>COUNTIFS('Estado SF'!$A$5:$A$60,3,'Estado SF'!$F$5:$F$60,"Sí")</f>
        <v/>
      </c>
      <c r="D20" s="25">
        <f>COUNTIFS('Estado SF'!$A$5:$A$60,3,'Estado SF'!$G$5:$G$60,"Sí")</f>
        <v/>
      </c>
      <c r="E20" s="25">
        <f>SUMPRODUCT(('Estado SF'!$A$5:$A$60=3)*ISNUMBER('Estado SF'!$H$5:$H$60))</f>
        <v/>
      </c>
    </row>
    <row r="22" ht="15" customHeight="1" s="22">
      <c r="A22" s="29" t="inlineStr">
        <is>
          <t>Por lista</t>
        </is>
      </c>
    </row>
    <row r="23" ht="26.25" customHeight="1" s="22">
      <c r="A23" s="24" t="inlineStr">
        <is>
          <t>Lista</t>
        </is>
      </c>
      <c r="B23" s="24" t="inlineStr">
        <is>
          <t>SF</t>
        </is>
      </c>
      <c r="C23" s="24" t="inlineStr">
        <is>
          <t>Instaladas</t>
        </is>
      </c>
      <c r="D23" s="24" t="inlineStr">
        <is>
          <t>Corren</t>
        </is>
      </c>
      <c r="E23" s="24" t="inlineStr">
        <is>
          <t>Descripción</t>
        </is>
      </c>
    </row>
    <row r="24" ht="15" customHeight="1" s="22">
      <c r="A24" s="25" t="inlineStr">
        <is>
          <t>Lista 1</t>
        </is>
      </c>
      <c r="B24" s="25">
        <f>COUNTIF('Estado SF'!$S$5:$S$60,"*1*")</f>
        <v/>
      </c>
      <c r="C24" s="25">
        <f>COUNTIFS('Estado SF'!$S$5:$S$60,"*1*",'Estado SF'!$F$5:$F$60,"Sí")</f>
        <v/>
      </c>
      <c r="D24" s="25">
        <f>COUNTIFS('Estado SF'!$S$5:$S$60,"*1*",'Estado SF'!$G$5:$G$60,"Sí")</f>
        <v/>
      </c>
      <c r="E24" s="25" t="inlineStr">
        <is>
          <t>Relevamiento original (Eaves et al. 2026 + Su et al. 2019)</t>
        </is>
      </c>
    </row>
    <row r="25" ht="15" customHeight="1" s="22">
      <c r="A25" s="25" t="inlineStr">
        <is>
          <t>Lista 2</t>
        </is>
      </c>
      <c r="B25" s="25">
        <f>COUNTIF('Estado SF'!$S$5:$S$60,"*2*")</f>
        <v/>
      </c>
      <c r="C25" s="25">
        <f>COUNTIFS('Estado SF'!$S$5:$S$60,"*2*",'Estado SF'!$F$5:$F$60,"Sí")</f>
        <v/>
      </c>
      <c r="D25" s="25">
        <f>COUNTIFS('Estado SF'!$S$5:$S$60,"*2*",'Estado SF'!$G$5:$G$60,"Sí")</f>
        <v/>
      </c>
      <c r="E25" s="25" t="inlineStr">
        <is>
          <t>Revisión sistemática de Transformers (Apresentação.pdf, diap. 22–23)</t>
        </is>
      </c>
    </row>
    <row r="26" ht="15" customHeight="1" s="22">
      <c r="A26" s="31" t="inlineStr">
        <is>
          <t>Cuenta solo las SF con fila en "Estado SF" (las descartadas sin repositorio están listadas al pie de esa hoja). "1 y 2" cuenta en ambas.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4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1" min="1" max="1"/>
    <col width="30" customWidth="1" style="21" min="2" max="2"/>
    <col width="38" customWidth="1" style="21" min="3" max="3"/>
    <col width="60" customWidth="1" style="21" min="4" max="4"/>
    <col width="11" customWidth="1" style="21" min="5" max="5"/>
    <col width="14" customWidth="1" style="21" min="6" max="7"/>
    <col width="12" customWidth="1" style="21" min="8" max="9"/>
    <col width="40" customWidth="1" style="21" min="10" max="10"/>
  </cols>
  <sheetData>
    <row r="1" ht="17.25" customHeight="1" s="22">
      <c r="A1" s="23" t="inlineStr">
        <is>
          <t>CombiLabHUB – Etapas del proyecto (evaluación de scoring functions en CASF-2016)</t>
        </is>
      </c>
    </row>
    <row r="2" ht="15" customHeight="1" s="22">
      <c r="A2" s="32" t="inlineStr">
        <is>
          <t>Fuente: MEMORIA_PROYECTO_SF.md y REQUISITOS_PRUEBAS_SF.txt (18/10/2026). Celdas amarillas = para completar (Estado, Responsable, Fechas, Notas).</t>
        </is>
      </c>
    </row>
    <row r="3"/>
    <row r="4" ht="26.25" customHeight="1" s="22">
      <c r="A4" s="24" t="inlineStr">
        <is>
          <t>ID</t>
        </is>
      </c>
      <c r="B4" s="24" t="inlineStr">
        <is>
          <t>Etapa</t>
        </is>
      </c>
      <c r="C4" s="24" t="inlineStr">
        <is>
          <t>Tarea</t>
        </is>
      </c>
      <c r="D4" s="24" t="inlineStr">
        <is>
          <t>Detalle / entregable</t>
        </is>
      </c>
      <c r="E4" s="24" t="inlineStr">
        <is>
          <t>Depende de</t>
        </is>
      </c>
      <c r="F4" s="24" t="inlineStr">
        <is>
          <t>Estado</t>
        </is>
      </c>
      <c r="G4" s="24" t="inlineStr">
        <is>
          <t>Responsable</t>
        </is>
      </c>
      <c r="H4" s="24" t="inlineStr">
        <is>
          <t>Inicio</t>
        </is>
      </c>
      <c r="I4" s="24" t="inlineStr">
        <is>
          <t>Fin</t>
        </is>
      </c>
      <c r="J4" s="24" t="inlineStr">
        <is>
          <t>Notas</t>
        </is>
      </c>
    </row>
    <row r="5" ht="26.25" customHeight="1" s="22">
      <c r="A5" s="33" t="inlineStr">
        <is>
          <t>0.1</t>
        </is>
      </c>
      <c r="B5" s="33" t="inlineStr">
        <is>
          <t>0. Preparación del entorno</t>
        </is>
      </c>
      <c r="C5" s="33" t="inlineStr">
        <is>
          <t>Instalar Miniconda (o Docker Desktop + WSL2)</t>
        </is>
      </c>
      <c r="D5" s="33" t="inlineStr">
        <is>
          <t>Miniconda recomendado; Docker para SF con MGLTools/Chimera/PyMOL</t>
        </is>
      </c>
      <c r="E5" s="33" t="n"/>
      <c r="F5" s="34" t="inlineStr">
        <is>
          <t>Completada</t>
        </is>
      </c>
      <c r="G5" s="34" t="n"/>
      <c r="H5" s="35" t="n">
        <v>46314</v>
      </c>
      <c r="I5" s="35" t="n">
        <v>46314</v>
      </c>
      <c r="J5" s="34" t="inlineStr">
        <is>
          <t>Miniconda instalado en C:\Users\Admin\miniconda3 (conda 26.9.3, Python 3.14.8, solver libmamba incluido) | 21/10/2026: Docker Desktop 4.96.1 + WSL 2 instalados (necesarios para delta_LinF9_XGB y SF solo-Linux)</t>
        </is>
      </c>
    </row>
    <row r="6" ht="26.25" customHeight="1" s="22">
      <c r="A6" s="33" t="inlineStr">
        <is>
          <t>0.2</t>
        </is>
      </c>
      <c r="B6" s="33" t="inlineStr">
        <is>
          <t>0. Preparación del entorno</t>
        </is>
      </c>
      <c r="C6" s="33" t="inlineStr">
        <is>
          <t>Informar GPU</t>
        </is>
      </c>
      <c r="D6" s="33" t="inlineStr">
        <is>
          <t>Indicar si hay NVIDIA y modelo (Dynaformer, PIGNet2, HAC-Net la necesitan)</t>
        </is>
      </c>
      <c r="E6" s="33" t="n"/>
      <c r="F6" s="34" t="inlineStr">
        <is>
          <t>Completada</t>
        </is>
      </c>
      <c r="G6" s="34" t="n"/>
      <c r="H6" s="35" t="n">
        <v>46314</v>
      </c>
      <c r="I6" s="35" t="n">
        <v>46314</v>
      </c>
      <c r="J6" s="34" t="inlineStr">
        <is>
          <t>NVIDIA Quadro P620 (Pascal, 4 GB VRAM, compute 6.1), driver 573.44 + Intel UHD integrada; 31,6 GB RAM. Usar builds de PyTorch cu118/cu126 (las cu128 no soportan Pascal). 4 GB limita a las SF pesadas del Nivel 3</t>
        </is>
      </c>
    </row>
    <row r="7" ht="15" customHeight="1" s="22">
      <c r="A7" s="33" t="inlineStr">
        <is>
          <t>0.3</t>
        </is>
      </c>
      <c r="B7" s="33" t="inlineStr">
        <is>
          <t>0. Preparación del entorno</t>
        </is>
      </c>
      <c r="C7" s="33" t="inlineStr">
        <is>
          <t>Liberar espacio en disco</t>
        </is>
      </c>
      <c r="D7" s="33" t="inlineStr">
        <is>
          <t>~100 GB, o instalar por tandas y borrar entornos probados</t>
        </is>
      </c>
      <c r="E7" s="33" t="n"/>
      <c r="F7" s="34" t="inlineStr">
        <is>
          <t>Completada</t>
        </is>
      </c>
      <c r="G7" s="34" t="n"/>
      <c r="H7" s="35" t="n">
        <v>46314</v>
      </c>
      <c r="I7" s="35" t="n">
        <v>46314</v>
      </c>
      <c r="J7" s="34" t="inlineStr">
        <is>
          <t>284 GB libres en el disco (más que los ~100 GB necesarios)</t>
        </is>
      </c>
    </row>
    <row r="8" ht="15" customHeight="1" s="22">
      <c r="A8" s="33" t="inlineStr">
        <is>
          <t>0.4</t>
        </is>
      </c>
      <c r="B8" s="33" t="inlineStr">
        <is>
          <t>0. Preparación del entorno</t>
        </is>
      </c>
      <c r="C8" s="33" t="inlineStr">
        <is>
          <t>Descargar CASF-2016</t>
        </is>
      </c>
      <c r="D8" s="33" t="inlineStr">
        <is>
          <t>Desde PDBbind (requiere registro); dejarlo en SOFTWARE SF</t>
        </is>
      </c>
      <c r="E8" s="33" t="n"/>
      <c r="F8" s="34" t="inlineStr">
        <is>
          <t>Completada</t>
        </is>
      </c>
      <c r="G8" s="34" t="n"/>
      <c r="H8" s="35" t="n">
        <v>46314</v>
      </c>
      <c r="I8" s="35" t="n">
        <v>46314</v>
      </c>
      <c r="J8" s="34" t="inlineStr">
        <is>
          <t>Descomprimido en SOFTWARE SF\CASF-2016\CASF-2016 (30.271 archivos verificados contra el .tar.gz; coreset con 285 complejos)</t>
        </is>
      </c>
    </row>
    <row r="9" ht="26.25" customHeight="1" s="22">
      <c r="A9" s="33" t="inlineStr">
        <is>
          <t>0.5</t>
        </is>
      </c>
      <c r="B9" s="33" t="inlineStr">
        <is>
          <t>0. Preparación del entorno</t>
        </is>
      </c>
      <c r="C9" s="33" t="inlineStr">
        <is>
          <t>Habilitar dominios (opcional)</t>
        </is>
      </c>
      <c r="D9" s="33" t="inlineStr">
        <is>
          <t>conda.anaconda.org, zenodo.org, figshare.com, drive.google.com, onedrive.live.com</t>
        </is>
      </c>
      <c r="E9" s="33" t="n"/>
      <c r="F9" s="34" t="inlineStr">
        <is>
          <t>Completada</t>
        </is>
      </c>
      <c r="G9" s="34" t="n"/>
      <c r="H9" s="35" t="n">
        <v>46314</v>
      </c>
      <c r="I9" s="35" t="n">
        <v>46314</v>
      </c>
      <c r="J9" s="34" t="inlineStr">
        <is>
          <t>Verificado 19/10/2026: conda.anaconda.org, zenodo.org, figshare.com, drive.google.com y onedrive.live.com accesibles desde la nube</t>
        </is>
      </c>
    </row>
    <row r="10" ht="15" customHeight="1" s="22">
      <c r="A10" s="33" t="inlineStr">
        <is>
          <t>1.1</t>
        </is>
      </c>
      <c r="B10" s="33" t="inlineStr">
        <is>
          <t>1. Relevamiento de SF</t>
        </is>
      </c>
      <c r="C10" s="33" t="inlineStr">
        <is>
          <t>Extraer tabla de 49 SF del PPTX</t>
        </is>
      </c>
      <c r="D10" s="33" t="inlineStr">
        <is>
          <t>Scoring_functions_descargadas.xlsx (ES/EN/PT)</t>
        </is>
      </c>
      <c r="E10" s="33" t="n"/>
      <c r="F10" s="34" t="inlineStr">
        <is>
          <t>Completada</t>
        </is>
      </c>
      <c r="G10" s="34" t="n"/>
      <c r="H10" s="35" t="n"/>
      <c r="I10" s="35" t="n"/>
      <c r="J10" s="34" t="n"/>
    </row>
    <row r="11" ht="26.25" customHeight="1" s="22">
      <c r="A11" s="33" t="inlineStr">
        <is>
          <t>1.2</t>
        </is>
      </c>
      <c r="B11" s="33" t="inlineStr">
        <is>
          <t>1. Relevamiento de SF</t>
        </is>
      </c>
      <c r="C11" s="33" t="inlineStr">
        <is>
          <t>Investigar 7 columnas extra</t>
        </is>
      </c>
      <c r="D11" s="33" t="inlineStr">
        <is>
          <t>Dataset, tamaño, tipo, algoritmo, descriptores, feature selection, algoritmo de selección + fuente y confianza</t>
        </is>
      </c>
      <c r="E11" s="33" t="inlineStr">
        <is>
          <t>1.1</t>
        </is>
      </c>
      <c r="F11" s="34" t="inlineStr">
        <is>
          <t>Completada</t>
        </is>
      </c>
      <c r="G11" s="34" t="n"/>
      <c r="H11" s="35" t="n"/>
      <c r="I11" s="35" t="n"/>
      <c r="J11" s="34" t="inlineStr">
        <is>
          <t>33 Alta, 8 Media, 8 Baja confianza</t>
        </is>
      </c>
    </row>
    <row r="12" ht="15" customHeight="1" s="22">
      <c r="A12" s="33" t="inlineStr">
        <is>
          <t>2.1</t>
        </is>
      </c>
      <c r="B12" s="33" t="inlineStr">
        <is>
          <t>2. Descarga de código</t>
        </is>
      </c>
      <c r="C12" s="33" t="inlineStr">
        <is>
          <t>Descargar repos de las 49 SF</t>
        </is>
      </c>
      <c r="D12" s="33" t="inlineStr">
        <is>
          <t>Funciones_Score_Tabla1/ + INDICE_funciones_score.csv</t>
        </is>
      </c>
      <c r="E12" s="33" t="inlineStr">
        <is>
          <t>1.1</t>
        </is>
      </c>
      <c r="F12" s="34" t="inlineStr">
        <is>
          <t>Completada</t>
        </is>
      </c>
      <c r="G12" s="34" t="n"/>
      <c r="H12" s="35" t="n"/>
      <c r="I12" s="35" t="n"/>
      <c r="J12" s="34" t="n"/>
    </row>
    <row r="13" ht="15" customHeight="1" s="22">
      <c r="A13" s="33" t="inlineStr">
        <is>
          <t>2.2</t>
        </is>
      </c>
      <c r="B13" s="33" t="inlineStr">
        <is>
          <t>2. Descarga de código</t>
        </is>
      </c>
      <c r="C13" s="33" t="inlineStr">
        <is>
          <t>Descargar SF de Su et al. 2019</t>
        </is>
      </c>
      <c r="D13" s="33" t="inlineStr">
        <is>
          <t>Vina, ΔVinaRF20, vina4dv en Funciones_Score_Su2018/</t>
        </is>
      </c>
      <c r="E13" s="33" t="n"/>
      <c r="F13" s="34" t="inlineStr">
        <is>
          <t>Completada</t>
        </is>
      </c>
      <c r="G13" s="34" t="n"/>
      <c r="H13" s="35" t="n"/>
      <c r="I13" s="35" t="n"/>
      <c r="J13" s="34" t="n"/>
    </row>
    <row r="14" ht="15" customHeight="1" s="22">
      <c r="A14" s="33" t="inlineStr">
        <is>
          <t>2.3</t>
        </is>
      </c>
      <c r="B14" s="33" t="inlineStr">
        <is>
          <t>2. Descarga de código</t>
        </is>
      </c>
      <c r="C14" s="33" t="inlineStr">
        <is>
          <t>Pendientes de descarga</t>
        </is>
      </c>
      <c r="D14" s="33" t="inlineStr">
        <is>
          <t>DAAP y LigityScore (GitLab); MSSDTA sin código público</t>
        </is>
      </c>
      <c r="E14" s="33" t="inlineStr">
        <is>
          <t>2.1</t>
        </is>
      </c>
      <c r="F14" s="34" t="inlineStr">
        <is>
          <t>Pendiente</t>
        </is>
      </c>
      <c r="G14" s="34" t="n"/>
      <c r="H14" s="35" t="n"/>
      <c r="I14" s="35" t="n"/>
      <c r="J14" s="34" t="n"/>
    </row>
    <row r="15" ht="15" customHeight="1" s="22">
      <c r="A15" s="33" t="inlineStr">
        <is>
          <t>2.4</t>
        </is>
      </c>
      <c r="B15" s="33" t="inlineStr">
        <is>
          <t>2. Descarga de código</t>
        </is>
      </c>
      <c r="C15" s="33" t="inlineStr">
        <is>
          <t>Verificar et_score.sav en Files.7z</t>
        </is>
      </c>
      <c r="D15" s="33" t="inlineStr">
        <is>
          <t>Confirmar modelo de ET-Score</t>
        </is>
      </c>
      <c r="E15" s="33" t="inlineStr">
        <is>
          <t>2.1</t>
        </is>
      </c>
      <c r="F15" s="34" t="inlineStr">
        <is>
          <t>Completada</t>
        </is>
      </c>
      <c r="G15" s="34" t="n"/>
      <c r="H15" s="35" t="n">
        <v>46314</v>
      </c>
      <c r="I15" s="35" t="n">
        <v>46314</v>
      </c>
      <c r="J15" s="34" t="inlineStr">
        <is>
          <t>19/10/2026: et_score.sav descargado de Figshare (10.6084/m9.figshare.23684538), MD5 c7c5865d… verificado; no hace falta Files.7z</t>
        </is>
      </c>
    </row>
    <row r="16" ht="26.25" customHeight="1" s="22">
      <c r="A16" s="33" t="inlineStr">
        <is>
          <t>3.1</t>
        </is>
      </c>
      <c r="B16" s="33" t="inlineStr">
        <is>
          <t>3. Ranking para probar sin reentrenar</t>
        </is>
      </c>
      <c r="C16" s="33" t="inlineStr">
        <is>
          <t>Clasificar SF por dificultad</t>
        </is>
      </c>
      <c r="D16" s="33" t="inlineStr">
        <is>
          <t>Nivel 1 (11), Nivel 2 (7), Nivel 3 (9), descartadas (20, sin modelo entrenado)</t>
        </is>
      </c>
      <c r="E16" s="33" t="inlineStr">
        <is>
          <t>2.1</t>
        </is>
      </c>
      <c r="F16" s="34" t="inlineStr">
        <is>
          <t>Completada</t>
        </is>
      </c>
      <c r="G16" s="34" t="n"/>
      <c r="H16" s="35" t="n"/>
      <c r="I16" s="35" t="n"/>
      <c r="J16" s="34" t="inlineStr">
        <is>
          <t xml:space="preserve"> | 21/10/2026: RFL-Score pasa del Nivel 3 al Nivel 1</t>
        </is>
      </c>
    </row>
    <row r="17" ht="26.25" customHeight="1" s="22">
      <c r="A17" s="33" t="inlineStr">
        <is>
          <t>4.1</t>
        </is>
      </c>
      <c r="B17" s="33" t="inlineStr">
        <is>
          <t>4. Framework CombiLabHUB</t>
        </is>
      </c>
      <c r="C17" s="33" t="inlineStr">
        <is>
          <t>Núcleo CLI + adaptadores Nivel 1</t>
        </is>
      </c>
      <c r="D17" s="33" t="inlineStr">
        <is>
          <t>Borrador en CombiLabHUB_borrador.tar.gz con commits upstream fijados</t>
        </is>
      </c>
      <c r="E17" s="33" t="inlineStr">
        <is>
          <t>3.1</t>
        </is>
      </c>
      <c r="F17" s="34" t="inlineStr">
        <is>
          <t>En progreso</t>
        </is>
      </c>
      <c r="G17" s="34" t="n"/>
      <c r="H17" s="35" t="n"/>
      <c r="I17" s="35" t="n"/>
      <c r="J17" s="34" t="inlineStr">
        <is>
          <t>Borrador hecho</t>
        </is>
      </c>
    </row>
    <row r="18" ht="26.25" customHeight="1" s="22">
      <c r="A18" s="33" t="inlineStr">
        <is>
          <t>4.2</t>
        </is>
      </c>
      <c r="B18" s="33" t="inlineStr">
        <is>
          <t>4. Framework CombiLabHUB</t>
        </is>
      </c>
      <c r="C18" s="33" t="inlineStr">
        <is>
          <t>Repositorio GitHub</t>
        </is>
      </c>
      <c r="D18" s="33" t="inlineStr">
        <is>
          <t>Temporal: oarrua88/combi_lab_hub_tmp; definitivo: combilab-furg/combi_lab_hub</t>
        </is>
      </c>
      <c r="E18" s="33" t="n"/>
      <c r="F18" s="34" t="inlineStr">
        <is>
          <t>En progreso</t>
        </is>
      </c>
      <c r="G18" s="34" t="n"/>
      <c r="H18" s="35" t="n"/>
      <c r="I18" s="35" t="n"/>
      <c r="J18" s="34" t="inlineStr">
        <is>
          <t>Esperando permiso al repo de la organización | 19/10/2026: GitHub vinculado a Claude; los push al repo temporal ya funcionan desde Claude</t>
        </is>
      </c>
    </row>
    <row r="19" ht="15" customHeight="1" s="22">
      <c r="A19" s="33" t="inlineStr">
        <is>
          <t>4.3</t>
        </is>
      </c>
      <c r="B19" s="33" t="inlineStr">
        <is>
          <t>4. Framework CombiLabHUB</t>
        </is>
      </c>
      <c r="C19" s="33" t="inlineStr">
        <is>
          <t>Subir el borrador al repo</t>
        </is>
      </c>
      <c r="D19" s="33" t="inlineStr">
        <is>
          <t>Descomprimir, git add, primer commit</t>
        </is>
      </c>
      <c r="E19" s="33" t="inlineStr">
        <is>
          <t>4.1, 4.2</t>
        </is>
      </c>
      <c r="F19" s="34" t="inlineStr">
        <is>
          <t>Completada</t>
        </is>
      </c>
      <c r="G19" s="34" t="n"/>
      <c r="H19" s="35" t="n"/>
      <c r="I19" s="35" t="n"/>
      <c r="J19" s="34" t="inlineStr">
        <is>
          <t>Superada: el código se subió plugin por plugin al repo temporal (commits del 19 y 20/10/2026)</t>
        </is>
      </c>
    </row>
    <row r="20" ht="15" customHeight="1" s="22">
      <c r="A20" s="33" t="inlineStr">
        <is>
          <t>4.4</t>
        </is>
      </c>
      <c r="B20" s="33" t="inlineStr">
        <is>
          <t>4. Framework CombiLabHUB</t>
        </is>
      </c>
      <c r="C20" s="33" t="inlineStr">
        <is>
          <t>Manifest de plugins</t>
        </is>
      </c>
      <c r="D20" s="33" t="inlineStr">
        <is>
          <t>Lista de SF con versión, entorno y commit upstream</t>
        </is>
      </c>
      <c r="E20" s="33" t="inlineStr">
        <is>
          <t>4.1</t>
        </is>
      </c>
      <c r="F20" s="34" t="inlineStr">
        <is>
          <t>Pendiente</t>
        </is>
      </c>
      <c r="G20" s="34" t="n"/>
      <c r="H20" s="35" t="n"/>
      <c r="I20" s="35" t="n"/>
      <c r="J20" s="34" t="n"/>
    </row>
    <row r="21" ht="15" customHeight="1" s="22">
      <c r="A21" s="33" t="inlineStr">
        <is>
          <t>4.5</t>
        </is>
      </c>
      <c r="B21" s="33" t="inlineStr">
        <is>
          <t>4. Framework CombiLabHUB</t>
        </is>
      </c>
      <c r="C21" s="33" t="inlineStr">
        <is>
          <t>environment.yml / Dockerfile por SF</t>
        </is>
      </c>
      <c r="D21" s="33" t="inlineStr">
        <is>
          <t>Un entorno reproducible por plugin</t>
        </is>
      </c>
      <c r="E21" s="33" t="inlineStr">
        <is>
          <t>4.1</t>
        </is>
      </c>
      <c r="F21" s="34" t="inlineStr">
        <is>
          <t>Completada</t>
        </is>
      </c>
      <c r="G21" s="34" t="n"/>
      <c r="H21" s="35" t="n">
        <v>46314</v>
      </c>
      <c r="I21" s="35" t="n">
        <v>46315</v>
      </c>
      <c r="J21" s="34" t="inlineStr">
        <is>
          <t>19/10/2026: hechos ET-Score, GB-Score, OnionNet-2, Sfcnn y PLANET | 20/10/2026: egGNN, GIGN, EHIGN-PLA, saCNN y DEAttentionDTA. Nivel 1 completo (10/10), environment.yml + Dockerfile con commit y MD5 fijados</t>
        </is>
      </c>
    </row>
    <row r="22" ht="15" customHeight="1" s="22">
      <c r="A22" s="33" t="inlineStr">
        <is>
          <t>4.6</t>
        </is>
      </c>
      <c r="B22" s="33" t="inlineStr">
        <is>
          <t>4. Framework CombiLabHUB</t>
        </is>
      </c>
      <c r="C22" s="33" t="inlineStr">
        <is>
          <t>setup.sh</t>
        </is>
      </c>
      <c r="D22" s="33" t="inlineStr">
        <is>
          <t>Script de instalación automatizada</t>
        </is>
      </c>
      <c r="E22" s="33" t="inlineStr">
        <is>
          <t>4.5</t>
        </is>
      </c>
      <c r="F22" s="34" t="inlineStr">
        <is>
          <t>Pendiente</t>
        </is>
      </c>
      <c r="G22" s="34" t="n"/>
      <c r="H22" s="35" t="n"/>
      <c r="I22" s="35" t="n"/>
      <c r="J22" s="34" t="n"/>
    </row>
    <row r="23" ht="15" customHeight="1" s="22">
      <c r="A23" s="33" t="inlineStr">
        <is>
          <t>4.7</t>
        </is>
      </c>
      <c r="B23" s="33" t="inlineStr">
        <is>
          <t>4. Framework CombiLabHUB</t>
        </is>
      </c>
      <c r="C23" s="33" t="inlineStr">
        <is>
          <t>INSTALAR.md por plugin</t>
        </is>
      </c>
      <c r="D23" s="33" t="inlineStr">
        <is>
          <t>Guía de instalación paso a paso</t>
        </is>
      </c>
      <c r="E23" s="33" t="inlineStr">
        <is>
          <t>4.5</t>
        </is>
      </c>
      <c r="F23" s="34" t="inlineStr">
        <is>
          <t>En progreso</t>
        </is>
      </c>
      <c r="G23" s="34" t="n"/>
      <c r="H23" s="35" t="n">
        <v>46314</v>
      </c>
      <c r="I23" s="35" t="n"/>
      <c r="J23" s="34" t="inlineStr">
        <is>
          <t>19/10/2026: ET-Score, GB-Score, OnionNet-2, Sfcnn y PLANET | 20/10/2026: egGNN, GIGN, EHIGN-PLA, saCNN y DEAttentionDTA. INSTALL.md + test_1a30.py + demo .bat para las 10 SF del Nivel 1 (en inglés)</t>
        </is>
      </c>
    </row>
    <row r="24" ht="15" customHeight="1" s="22">
      <c r="A24" s="33" t="inlineStr">
        <is>
          <t>4.8</t>
        </is>
      </c>
      <c r="B24" s="33" t="inlineStr">
        <is>
          <t>4. Framework CombiLabHUB</t>
        </is>
      </c>
      <c r="C24" s="33" t="inlineStr">
        <is>
          <t>README del proyecto</t>
        </is>
      </c>
      <c r="D24" s="33" t="inlineStr">
        <is>
          <t>Uso del CLI, estructura, cómo agregar una SF</t>
        </is>
      </c>
      <c r="E24" s="33" t="inlineStr">
        <is>
          <t>4.1</t>
        </is>
      </c>
      <c r="F24" s="34" t="inlineStr">
        <is>
          <t>Completada</t>
        </is>
      </c>
      <c r="G24" s="34" t="n"/>
      <c r="H24" s="35" t="n">
        <v>46316</v>
      </c>
      <c r="I24" s="35" t="n">
        <v>46316</v>
      </c>
      <c r="J24" s="34" t="inlineStr">
        <is>
          <t>21/10/2026: README.md con estructura, carpetas, uso rápido y cómo agregar una SF</t>
        </is>
      </c>
    </row>
    <row r="25" ht="26.25" customHeight="1" s="22">
      <c r="A25" s="33" t="inlineStr">
        <is>
          <t>5.1</t>
        </is>
      </c>
      <c r="B25" s="33" t="inlineStr">
        <is>
          <t>5. Pruebas Nivel 1 (CPU, modelo listo)</t>
        </is>
      </c>
      <c r="C25" s="33" t="inlineStr">
        <is>
          <t>ET-Score y GB-Score</t>
        </is>
      </c>
      <c r="D25" s="33" t="inlineStr">
        <is>
          <t>Mismo entorno scikit-learn; test con 1 complejo + core set CASF-2016</t>
        </is>
      </c>
      <c r="E25" s="33" t="inlineStr">
        <is>
          <t>0.4, 4.5</t>
        </is>
      </c>
      <c r="F25" s="34" t="inlineStr">
        <is>
          <t>En progreso</t>
        </is>
      </c>
      <c r="G25" s="34" t="n"/>
      <c r="H25" s="35" t="n">
        <v>46314</v>
      </c>
      <c r="I25" s="35" t="n"/>
      <c r="J25" s="34" t="inlineStr">
        <is>
          <t>Primeras a probar | 19/10/2026: ET-Score y GB-Score pasan el test con 1a30 (pKd 5.6837 y 5.6171). Falta correr el core set completo y calcular PCC | 21/10/2026: la corrida del core set completo queda reservada para el video (ver 8.1)</t>
        </is>
      </c>
    </row>
    <row r="26" ht="26.25" customHeight="1" s="22">
      <c r="A26" s="33" t="inlineStr">
        <is>
          <t>5.2</t>
        </is>
      </c>
      <c r="B26" s="33" t="inlineStr">
        <is>
          <t>5. Pruebas Nivel 1 (CPU, modelo listo)</t>
        </is>
      </c>
      <c r="C26" s="33" t="inlineStr">
        <is>
          <t>OnionNet-2 y SFCNN</t>
        </is>
      </c>
      <c r="D26" s="33" t="inlineStr">
        <is>
          <t>TensorFlow CPU (+ OpenBabel en SFCNN)</t>
        </is>
      </c>
      <c r="E26" s="33" t="inlineStr">
        <is>
          <t>5.1</t>
        </is>
      </c>
      <c r="F26" s="34" t="inlineStr">
        <is>
          <t>Completada</t>
        </is>
      </c>
      <c r="G26" s="34" t="n"/>
      <c r="H26" s="35" t="n">
        <v>46314</v>
      </c>
      <c r="I26" s="35" t="n">
        <v>46314</v>
      </c>
      <c r="J26" s="34" t="inlineStr">
        <is>
          <t>19/10/2026: OnionNet-2 (pKd 1a30 5.4568 con archivos de los autores / 5.8866 CASF) y Sfcnn (5.4721, igual a los autores; 74 poses de docking iguales) pasan el test con 1a30</t>
        </is>
      </c>
    </row>
    <row r="27" ht="26.25" customHeight="1" s="22">
      <c r="A27" s="33" t="inlineStr">
        <is>
          <t>5.3</t>
        </is>
      </c>
      <c r="B27" s="33" t="inlineStr">
        <is>
          <t>5. Pruebas Nivel 1 (CPU, modelo listo)</t>
        </is>
      </c>
      <c r="C27" s="33" t="inlineStr">
        <is>
          <t>Resto del Nivel 1</t>
        </is>
      </c>
      <c r="D27" s="33" t="inlineStr">
        <is>
          <t>PLANET, egGNN, GIGN, EHIGN-PLA, saCNN, DEAttentionDTA</t>
        </is>
      </c>
      <c r="E27" s="33" t="inlineStr">
        <is>
          <t>5.2</t>
        </is>
      </c>
      <c r="F27" s="34" t="inlineStr">
        <is>
          <t>Completada</t>
        </is>
      </c>
      <c r="G27" s="34" t="n"/>
      <c r="H27" s="35" t="n">
        <v>46314</v>
      </c>
      <c r="I27" s="35" t="n">
        <v>46315</v>
      </c>
      <c r="J27" s="34" t="inlineStr">
        <is>
          <t>19/10/2026: PLANET pasa el test con 1a30 | 20/10/2026: egGNN (5.1040), GIGN (media 5.7230), EHIGN-PLA (media 5.4670), saCNN (5.0950) y DEAttentionDTA (6.2026 CASF / 6.3185 autores) pasan el test con 1a30 en Linux. Falta confirmar en Windows | 25/10/2026: confirmadas en Windows (demo conda y Docker) las 10 SF del Nivel 1 de la lista original: arreglos libcurl4 (egGNN, GIGN, EHIGN-PLA, IGModel) y Open Babel (saCNN)</t>
        </is>
      </c>
    </row>
    <row r="28" ht="26.25" customHeight="1" s="22">
      <c r="A28" s="33" t="inlineStr">
        <is>
          <t>6.1</t>
        </is>
      </c>
      <c r="B28" s="33" t="inlineStr">
        <is>
          <t>6. Pruebas Nivel 2 (pasos extra)</t>
        </is>
      </c>
      <c r="C28" s="33" t="inlineStr">
        <is>
          <t>SF del Nivel 2</t>
        </is>
      </c>
      <c r="D28" s="33" t="inlineStr">
        <is>
          <t>DeepBindGCN, HAC-Net, delta_LinF9_XGB, GraphscoreDTA, IGModel, ConBAP, CPIScore</t>
        </is>
      </c>
      <c r="E28" s="33" t="inlineStr">
        <is>
          <t>5.3</t>
        </is>
      </c>
      <c r="F28" s="34" t="inlineStr">
        <is>
          <t>Completada</t>
        </is>
      </c>
      <c r="G28" s="34" t="n"/>
      <c r="H28" s="35" t="n">
        <v>46316</v>
      </c>
      <c r="I28" s="35" t="n">
        <v>46316</v>
      </c>
      <c r="J28" s="34"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22">
      <c r="A29" s="33" t="inlineStr">
        <is>
          <t>6.2</t>
        </is>
      </c>
      <c r="B29" s="33" t="inlineStr">
        <is>
          <t>6. Pruebas Nivel 2 (pasos extra)</t>
        </is>
      </c>
      <c r="C29" s="33" t="inlineStr">
        <is>
          <t>Investigar cómo GraphscoreDTA prepara sus complejos de test</t>
        </is>
      </c>
      <c r="D29" s="33"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33" t="inlineStr">
        <is>
          <t>6.1</t>
        </is>
      </c>
      <c r="F29" s="34" t="inlineStr">
        <is>
          <t>Pendiente</t>
        </is>
      </c>
      <c r="G29" s="34" t="n"/>
      <c r="H29" s="35" t="n">
        <v>46316</v>
      </c>
      <c r="I29" s="35" t="n"/>
      <c r="J29" s="34"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22">
      <c r="A30" s="33" t="inlineStr">
        <is>
          <t>7.1</t>
        </is>
      </c>
      <c r="B30" s="33" t="inlineStr">
        <is>
          <t>7. Pruebas Nivel 3 (pesadas/complicadas)</t>
        </is>
      </c>
      <c r="C30" s="33" t="inlineStr">
        <is>
          <t>SF del Nivel 3</t>
        </is>
      </c>
      <c r="D30" s="33" t="inlineStr">
        <is>
          <t>PointNet, PIGNet2, Dynaformer, TopoFormer, BAPA, CGraphDTA, EGNA, HydraScreen, P3-Score</t>
        </is>
      </c>
      <c r="E30" s="33" t="inlineStr">
        <is>
          <t>6.1, 0.2</t>
        </is>
      </c>
      <c r="F30" s="34" t="inlineStr">
        <is>
          <t>En progreso</t>
        </is>
      </c>
      <c r="G30" s="34" t="n"/>
      <c r="H30" s="35" t="n">
        <v>46317</v>
      </c>
      <c r="I30" s="35" t="n"/>
      <c r="J30" s="34"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 | 26/10/2026: Dynaformer y TopoFormer siguen bloqueadas por la descarga de modelos (OneDrive y weilab.math.msu.edu no accesibles desde la nube ni desde la PC)</t>
        </is>
      </c>
    </row>
    <row r="31" ht="26.25" customHeight="1" s="22">
      <c r="A31" s="33" t="inlineStr">
        <is>
          <t>8.1</t>
        </is>
      </c>
      <c r="B31" s="33" t="inlineStr">
        <is>
          <t>8. Evaluación en CASF-2016</t>
        </is>
      </c>
      <c r="C31" s="33" t="inlineStr">
        <is>
          <t>Calcular PCC por SF</t>
        </is>
      </c>
      <c r="D31" s="33" t="inlineStr">
        <is>
          <t>Comparar PCC obtenido vs. reportado (hoja Estado SF)</t>
        </is>
      </c>
      <c r="E31" s="33" t="inlineStr">
        <is>
          <t>5.1</t>
        </is>
      </c>
      <c r="F31" s="34" t="inlineStr">
        <is>
          <t>Pendiente</t>
        </is>
      </c>
      <c r="G31" s="34" t="n"/>
      <c r="H31" s="35" t="n"/>
      <c r="I31" s="35" t="n"/>
      <c r="J31" s="34"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22">
      <c r="A32" s="33" t="inlineStr">
        <is>
          <t>8.2</t>
        </is>
      </c>
      <c r="B32" s="33" t="inlineStr">
        <is>
          <t>8. Evaluación en CASF-2016</t>
        </is>
      </c>
      <c r="C32" s="33" t="inlineStr">
        <is>
          <t>Usar versiones corregidas de Eaves et al.</t>
        </is>
      </c>
      <c r="D32" s="33" t="inlineStr">
        <is>
          <t>17 modelos en github.com/jeavesj</t>
        </is>
      </c>
      <c r="E32" s="33" t="n"/>
      <c r="F32" s="34" t="inlineStr">
        <is>
          <t>Pendiente</t>
        </is>
      </c>
      <c r="G32" s="34" t="n"/>
      <c r="H32" s="35" t="n"/>
      <c r="I32" s="35" t="n"/>
      <c r="J32" s="34" t="n"/>
    </row>
    <row r="33" ht="15" customHeight="1" s="22">
      <c r="A33" s="33" t="inlineStr">
        <is>
          <t>8.3</t>
        </is>
      </c>
      <c r="B33" s="33" t="inlineStr">
        <is>
          <t>8. Evaluación en CASF-2016</t>
        </is>
      </c>
      <c r="C33" s="33" t="inlineStr">
        <is>
          <t>Informe comparativo</t>
        </is>
      </c>
      <c r="D33" s="33" t="inlineStr">
        <is>
          <t>Tabla/gráficos de resultados para el laboratorio</t>
        </is>
      </c>
      <c r="E33" s="33" t="inlineStr">
        <is>
          <t>8.1</t>
        </is>
      </c>
      <c r="F33" s="34" t="inlineStr">
        <is>
          <t>Pendiente</t>
        </is>
      </c>
      <c r="G33" s="34" t="n"/>
      <c r="H33" s="35" t="n"/>
      <c r="I33" s="35" t="n"/>
      <c r="J33" s="34" t="n"/>
    </row>
    <row r="34" ht="15" customHeight="1" s="22">
      <c r="A34" s="33" t="inlineStr">
        <is>
          <t>9.1</t>
        </is>
      </c>
      <c r="B34" s="33" t="inlineStr">
        <is>
          <t>9. Interfaz</t>
        </is>
      </c>
      <c r="C34" s="33" t="inlineStr">
        <is>
          <t>Interfaz para ejecutar cada SF</t>
        </is>
      </c>
      <c r="D34" s="33" t="inlineStr">
        <is>
          <t>UI sobre el CLI de CombiLabHUB</t>
        </is>
      </c>
      <c r="E34" s="33" t="inlineStr">
        <is>
          <t>5.3</t>
        </is>
      </c>
      <c r="F34" s="34" t="inlineStr">
        <is>
          <t>Pendiente</t>
        </is>
      </c>
      <c r="G34" s="34" t="n"/>
      <c r="H34" s="35" t="n"/>
      <c r="I34" s="35" t="n"/>
      <c r="J34" s="34" t="n"/>
    </row>
    <row r="35" ht="165.75" customHeight="1" s="22">
      <c r="A35" s="33" t="inlineStr">
        <is>
          <t>5.4</t>
        </is>
      </c>
      <c r="B35" s="33" t="inlineStr">
        <is>
          <t>5. Pruebas Nivel 1 (CPU, modelo listo)</t>
        </is>
      </c>
      <c r="C35" s="33" t="inlineStr">
        <is>
          <t>RFL-Score (SF de combi-lab)</t>
        </is>
      </c>
      <c r="D35" s="33" t="inlineStr">
        <is>
          <t>Plugin plugins/rfl_score: test liviano con R en Windows + pipeline completo de 160 features con Docker</t>
        </is>
      </c>
      <c r="E35" s="33" t="inlineStr">
        <is>
          <t>5.3</t>
        </is>
      </c>
      <c r="F35" s="34" t="inlineStr">
        <is>
          <t>Completada</t>
        </is>
      </c>
      <c r="G35" s="34" t="n"/>
      <c r="H35" s="35" t="n">
        <v>46316</v>
      </c>
      <c r="I35" s="35" t="n">
        <v>46316</v>
      </c>
      <c r="J35" s="34"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row r="36" ht="115.5" customHeight="1" s="22">
      <c r="A36" s="33" t="inlineStr">
        <is>
          <t>1.3</t>
        </is>
      </c>
      <c r="B36" s="33" t="inlineStr">
        <is>
          <t>1. Relevamiento de SF</t>
        </is>
      </c>
      <c r="C36" s="33" t="inlineStr">
        <is>
          <t>Relevar Lista 2 (revisión de Transformers)</t>
        </is>
      </c>
      <c r="D36" s="33" t="inlineStr">
        <is>
          <t>25 SF de Apresentação.pdf, diap. 22–23: 13 con repositorio, 12 sin</t>
        </is>
      </c>
      <c r="E36" s="33" t="n"/>
      <c r="F36" s="34" t="inlineStr">
        <is>
          <t>Completada</t>
        </is>
      </c>
      <c r="G36" s="36" t="n"/>
      <c r="H36" s="35" t="n">
        <v>46318</v>
      </c>
      <c r="I36" s="35" t="n">
        <v>46318</v>
      </c>
      <c r="J36" s="34" t="inlineStr">
        <is>
          <t>23/10/2026: agregadas a "Estado SF" con Lista = 2. CPIScore y DeepTGIN ya estaban en la Lista 1</t>
        </is>
      </c>
    </row>
    <row r="37" ht="153" customHeight="1" s="22">
      <c r="A37" s="33" t="inlineStr">
        <is>
          <t>2.5</t>
        </is>
      </c>
      <c r="B37" s="33" t="inlineStr">
        <is>
          <t>2. Descarga de código</t>
        </is>
      </c>
      <c r="C37" s="33" t="inlineStr">
        <is>
          <t>Descargar repos de la Lista 2</t>
        </is>
      </c>
      <c r="D37" s="33" t="inlineStr">
        <is>
          <t>DeepRLI, MMPD-DTA, T-ALPHA, DTITR, DTA-GTOmega, PLiSAGE, TransScore, SST, DBGT-PLA, GITK</t>
        </is>
      </c>
      <c r="E37" s="33" t="inlineStr">
        <is>
          <t>1.3</t>
        </is>
      </c>
      <c r="F37" s="34" t="inlineStr">
        <is>
          <t>Completada</t>
        </is>
      </c>
      <c r="G37" s="34" t="n"/>
      <c r="H37" s="35" t="n"/>
      <c r="I37" s="35" t="n">
        <v>46321</v>
      </c>
      <c r="J37" s="34" t="inlineStr">
        <is>
          <t>26/10/2026: URL encontradas: DTA-GTOmega github.com/ljquanlab/DTA-GTOmega, PLiSAGE github.com/PullRequestPanda/PLiSAGE, TransScore github.com/CSUBioGroup/TransScore, SST Zenodo 10795400 (Simple SMILES Transformer, sin repo de código), DBGT-PLA github.com/wangwying/DBGT-PLA, GITK github.com/Listen-lei/GITK</t>
        </is>
      </c>
    </row>
    <row r="38" ht="115.5" customHeight="1" s="22">
      <c r="A38" s="33" t="inlineStr">
        <is>
          <t>3.2</t>
        </is>
      </c>
      <c r="B38" s="33" t="inlineStr">
        <is>
          <t>3. Ranking para probar sin reentrenar</t>
        </is>
      </c>
      <c r="C38" s="33" t="inlineStr">
        <is>
          <t>Clasificar la Lista 2 por nivel</t>
        </is>
      </c>
      <c r="D38" s="33" t="inlineStr">
        <is>
          <t>Nivel 1: DeepRLI; Nivel 2: MMPD-DTA, T-ALPHA, DTITR; Nivel 3: DTA-GTOmega, PLiSAGE, TransScore, SST, DBGT-PLA, GITK; descartadas: DeepTGIN, MRBDTA y las 12 sin repo</t>
        </is>
      </c>
      <c r="E38" s="33" t="inlineStr">
        <is>
          <t>1.3</t>
        </is>
      </c>
      <c r="F38" s="34" t="inlineStr">
        <is>
          <t>Completada</t>
        </is>
      </c>
      <c r="G38" s="36" t="n"/>
      <c r="H38" s="35" t="n">
        <v>46318</v>
      </c>
      <c r="I38" s="35" t="n">
        <v>46318</v>
      </c>
      <c r="J38" s="34" t="inlineStr">
        <is>
          <t>Los de Nivel 3 "por verificar" pueden bajar de nivel cuando se revise su repo | 26/10/2026: revisados los repos: PLiSAGE, TransScore y GITK descartadas (sin modelo entrenado para afinidad); SST no aplica (solo ligando, receptores de SARS-CoV-2). Quedan en Nivel 3: DTA-GTOmega y DBGT-PLA</t>
        </is>
      </c>
    </row>
    <row r="39" ht="26.25" customHeight="1" s="22">
      <c r="A39" s="33" t="inlineStr">
        <is>
          <t>5.5</t>
        </is>
      </c>
      <c r="B39" s="33" t="inlineStr">
        <is>
          <t>5. Pruebas Nivel 1 (CPU, modelo listo)</t>
        </is>
      </c>
      <c r="C39" s="33" t="inlineStr">
        <is>
          <t>Lista 2 – Nivel 1</t>
        </is>
      </c>
      <c r="D39" s="33" t="inlineStr">
        <is>
          <t>DeepRLI hasta el test con 1a30</t>
        </is>
      </c>
      <c r="E39" s="33" t="inlineStr">
        <is>
          <t>2.5</t>
        </is>
      </c>
      <c r="F39" s="34" t="inlineStr">
        <is>
          <t>Completada</t>
        </is>
      </c>
      <c r="G39" s="34" t="n"/>
      <c r="H39" s="35" t="n">
        <v>46318</v>
      </c>
      <c r="I39" s="35" t="n">
        <v>46318</v>
      </c>
      <c r="J39" s="34" t="inlineStr">
        <is>
          <t>23/10/2026: DeepRLI test 1a30 PASS (Windows conda y Docker, pKd 4.1986)</t>
        </is>
      </c>
    </row>
    <row r="40" ht="26.25" customHeight="1" s="22">
      <c r="A40" s="33" t="inlineStr">
        <is>
          <t>6.3</t>
        </is>
      </c>
      <c r="B40" s="33" t="inlineStr">
        <is>
          <t>6. Pruebas Nivel 2 (pasos extra)</t>
        </is>
      </c>
      <c r="C40" s="33" t="inlineStr">
        <is>
          <t>Lista 2 – Nivel 2</t>
        </is>
      </c>
      <c r="D40" s="33" t="inlineStr">
        <is>
          <t>MMPD-DTA, T-ALPHA, DTITR hasta el test con 1a30</t>
        </is>
      </c>
      <c r="E40" s="33" t="inlineStr">
        <is>
          <t>2.5</t>
        </is>
      </c>
      <c r="F40" s="34" t="inlineStr">
        <is>
          <t>Completada</t>
        </is>
      </c>
      <c r="G40" s="34" t="n"/>
      <c r="H40" s="35" t="n">
        <v>46318</v>
      </c>
      <c r="I40" s="35" t="n">
        <v>46320</v>
      </c>
      <c r="J40" s="34" t="inlineStr">
        <is>
          <t>23/10/2026: MMPD-DTA test 1a30 PASS (Windows conda y Docker, pKd 5.3879). Faltan T-ALPHA y DTITR | 25/10/2026: DTITR test 1a30 PASS (Windows conda y Docker, pKd 5.0047). Falta T-ALPHA. | 25/10/2026: T-ALPHA test 1a30 PASS en Linux (5.7758 / 5.7024) y reproduce el PCC del artículo (0.869) con las features de los autores; imagen Docker probada en la PC del laboratorio (PASS).</t>
        </is>
      </c>
    </row>
    <row r="41" ht="26.25" customHeight="1" s="22">
      <c r="A41" s="33" t="inlineStr">
        <is>
          <t>7.2</t>
        </is>
      </c>
      <c r="B41" s="33" t="inlineStr">
        <is>
          <t>7. Pruebas Nivel 3 (pesadas/complicadas)</t>
        </is>
      </c>
      <c r="C41" s="33" t="inlineStr">
        <is>
          <t>Lista 2 – Nivel 3</t>
        </is>
      </c>
      <c r="D41" s="33" t="inlineStr">
        <is>
          <t>DTA-GTOmega, PLiSAGE, TransScore, SST, DBGT-PLA, GITK: revisar repo y modelo</t>
        </is>
      </c>
      <c r="E41" s="33" t="inlineStr">
        <is>
          <t>2.5</t>
        </is>
      </c>
      <c r="F41" s="34" t="inlineStr">
        <is>
          <t>En progreso</t>
        </is>
      </c>
      <c r="G41" s="34" t="n"/>
      <c r="H41" s="35" t="n">
        <v>46321</v>
      </c>
      <c r="I41" s="35" t="n"/>
      <c r="J41" s="34" t="inlineStr">
        <is>
          <t>26/10/2026: revisadas las 6. Viables: DTA-GTOmega (falta descargar pesos de OmegaFold, helixon.s3.amazonaws.com) y DBGT-PLA (faltan los grafos IChem pdbbind.tgz, bioinfo-pharma.u-strasbg.fr). Ambos dominios están bloqueados desde la nube y desde la PC. Descartadas: PLiSAGE, TransScore, GITK; SST no aplica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6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S6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1" min="1" max="1"/>
    <col width="5" customWidth="1" style="21" min="2" max="2"/>
    <col width="20" customWidth="1" style="21" min="3" max="3"/>
    <col width="32" customWidth="1" style="21" min="4" max="4"/>
    <col width="30" customWidth="1" style="21" min="5" max="5"/>
    <col width="11" customWidth="1" style="21" min="6" max="6"/>
    <col width="10" customWidth="1" style="21" min="7" max="7"/>
    <col width="12" customWidth="1" style="21" min="8" max="9"/>
    <col width="11" customWidth="1" style="21" min="10" max="10"/>
    <col width="40" customWidth="1" style="21" min="11" max="11"/>
    <col width="20" customWidth="1" style="21" min="12" max="12"/>
    <col width="26" customWidth="1" style="21" min="13" max="14"/>
    <col width="28" customWidth="1" style="21" min="15" max="15"/>
    <col width="26" customWidth="1" style="21" min="16" max="16"/>
    <col width="16" customWidth="1" style="21" min="17" max="17"/>
    <col width="18" customWidth="1" style="21" min="18" max="18"/>
    <col width="9" customWidth="1" style="21" min="19" max="19"/>
  </cols>
  <sheetData>
    <row r="1" ht="17.25" customHeight="1" s="22">
      <c r="A1" s="23" t="inlineStr">
        <is>
          <t>Estado de cada scoring function (solo inferencia, sin reentrenar)</t>
        </is>
      </c>
    </row>
    <row r="2" ht="15" customHeight="1" s="22">
      <c r="A2" s="32" t="inlineStr">
        <is>
          <t>Completar celdas amarillas. PCC reportado = valor del artículo original en CASF-2016. Diferencia se calcula sola. Columnas L–R: scripts de cada plugin (combi_lab_hub_tmp/plugins/&lt;carpeta&gt;); tools/docker_test_all.bat (.sh) corre todos los tests con Docker y deja un resumen. Columna S (Lista): 1 = lista original; 2 = SF nuevas de la revisión de Transformers (Apresentação.pdf); "1 y 2" = en ambas.</t>
        </is>
      </c>
    </row>
    <row r="4" ht="39" customHeight="1" s="22">
      <c r="A4" s="24" t="inlineStr">
        <is>
          <t>Nivel</t>
        </is>
      </c>
      <c r="B4" s="24" t="inlineStr">
        <is>
          <t>#</t>
        </is>
      </c>
      <c r="C4" s="24" t="inlineStr">
        <is>
          <t>Scoring function</t>
        </is>
      </c>
      <c r="D4" s="24" t="inlineStr">
        <is>
          <t>Modelo entrenado / fuente</t>
        </is>
      </c>
      <c r="E4" s="24" t="inlineStr">
        <is>
          <t>Dependencias principales</t>
        </is>
      </c>
      <c r="F4" s="24" t="inlineStr">
        <is>
          <t>Instalada</t>
        </is>
      </c>
      <c r="G4" s="24" t="inlineStr">
        <is>
          <t>Corre</t>
        </is>
      </c>
      <c r="H4" s="24" t="inlineStr">
        <is>
          <t>PCC obtenido</t>
        </is>
      </c>
      <c r="I4" s="24" t="inlineStr">
        <is>
          <t>PCC reportado</t>
        </is>
      </c>
      <c r="J4" s="24" t="inlineStr">
        <is>
          <t>Diferencia</t>
        </is>
      </c>
      <c r="K4" s="24" t="inlineStr">
        <is>
          <t>Problemas / notas</t>
        </is>
      </c>
      <c r="L4" s="24" t="inlineStr">
        <is>
          <t>Plugin (carpeta en plugins/)</t>
        </is>
      </c>
      <c r="M4" s="24" t="inlineStr">
        <is>
          <t>Windows conda (.bat)</t>
        </is>
      </c>
      <c r="N4" s="24" t="inlineStr">
        <is>
          <t>Imagen Docker</t>
        </is>
      </c>
      <c r="O4" s="24" t="inlineStr">
        <is>
          <t>Windows Docker (.bat)</t>
        </is>
      </c>
      <c r="P4" s="24" t="inlineStr">
        <is>
          <t>Linux Docker (.sh)</t>
        </is>
      </c>
      <c r="Q4" s="24" t="inlineStr">
        <is>
          <t>Test Docker 1a30</t>
        </is>
      </c>
      <c r="R4" s="24" t="inlineStr">
        <is>
          <t>Test Windows conda 1a30</t>
        </is>
      </c>
      <c r="S4" s="24" t="inlineStr">
        <is>
          <t>Lista</t>
        </is>
      </c>
    </row>
    <row r="5" ht="15" customHeight="1" s="22">
      <c r="A5" s="33" t="n">
        <v>1</v>
      </c>
      <c r="B5" s="33" t="n">
        <v>1</v>
      </c>
      <c r="C5" s="33" t="inlineStr">
        <is>
          <t>ET-Score</t>
        </is>
      </c>
      <c r="D5" s="33" t="inlineStr">
        <is>
          <t>et_score.sav (Files.7z o Figshare)</t>
        </is>
      </c>
      <c r="E5" s="33" t="inlineStr">
        <is>
          <t>scikit-learn</t>
        </is>
      </c>
      <c r="F5" s="34" t="inlineStr">
        <is>
          <t>Sí</t>
        </is>
      </c>
      <c r="G5" s="34" t="inlineStr">
        <is>
          <t>Sí</t>
        </is>
      </c>
      <c r="H5" s="37" t="n"/>
      <c r="I5" s="37" t="n">
        <v>0.827</v>
      </c>
      <c r="J5" s="38">
        <f>IF(AND(ISNUMBER(H5),ISNUMBER(I5)),H5-I5,"")</f>
        <v/>
      </c>
      <c r="K5" s="34" t="inlineStr">
        <is>
          <t>19/10/2026: test 1a30 PASS (pKd 5.6837, igual a los autores). Requiere Python 3.7 + sklearn 0.22.2 exactos; con 0.22.2 los autores reportan PCC 0.793. Plugin: plugins/et_score | 25/10/2026: demo Windows conda y Docker PASS en la PC del laboratorio.</t>
        </is>
      </c>
      <c r="L5" s="34" t="inlineStr">
        <is>
          <t>et_score</t>
        </is>
      </c>
      <c r="M5" s="34" t="inlineStr">
        <is>
          <t>demo_et_score.bat</t>
        </is>
      </c>
      <c r="N5" s="34" t="inlineStr">
        <is>
          <t>combilab/et-score:1.0</t>
        </is>
      </c>
      <c r="O5" s="34" t="inlineStr">
        <is>
          <t>docker_et_score.bat</t>
        </is>
      </c>
      <c r="P5" s="34" t="inlineStr">
        <is>
          <t>docker_et_score.sh</t>
        </is>
      </c>
      <c r="Q5" s="37" t="inlineStr">
        <is>
          <t>PASS</t>
        </is>
      </c>
      <c r="R5" s="37" t="inlineStr">
        <is>
          <t>PASS</t>
        </is>
      </c>
      <c r="S5" s="33" t="inlineStr">
        <is>
          <t>1</t>
        </is>
      </c>
    </row>
    <row r="6" ht="15" customHeight="1" s="22">
      <c r="A6" s="33" t="n">
        <v>1</v>
      </c>
      <c r="B6" s="33" t="n">
        <v>2</v>
      </c>
      <c r="C6" s="33" t="inlineStr">
        <is>
          <t>GB-Score</t>
        </is>
      </c>
      <c r="D6" s="33" t="inlineStr">
        <is>
          <t>.joblib en Figshare</t>
        </is>
      </c>
      <c r="E6" s="33" t="inlineStr">
        <is>
          <t>scikit-learn</t>
        </is>
      </c>
      <c r="F6" s="34" t="inlineStr">
        <is>
          <t>Sí</t>
        </is>
      </c>
      <c r="G6" s="34" t="inlineStr">
        <is>
          <t>Sí</t>
        </is>
      </c>
      <c r="H6" s="37" t="n"/>
      <c r="I6" s="37" t="n">
        <v>0.862</v>
      </c>
      <c r="J6" s="38">
        <f>IF(AND(ISNUMBER(H6),ISNUMBER(I6)),H6-I6,"")</f>
        <v/>
      </c>
      <c r="K6" s="34"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 | 25/10/2026: demo Windows conda y Docker PASS en la PC del laboratorio.</t>
        </is>
      </c>
      <c r="L6" s="34" t="inlineStr">
        <is>
          <t>gb_score</t>
        </is>
      </c>
      <c r="M6" s="34" t="inlineStr">
        <is>
          <t>demo_gb_score.bat</t>
        </is>
      </c>
      <c r="N6" s="34" t="inlineStr">
        <is>
          <t>combilab/gb-score:1.0</t>
        </is>
      </c>
      <c r="O6" s="34" t="inlineStr">
        <is>
          <t>docker_gb_score.bat</t>
        </is>
      </c>
      <c r="P6" s="34" t="inlineStr">
        <is>
          <t>docker_gb_score.sh</t>
        </is>
      </c>
      <c r="Q6" s="37" t="inlineStr">
        <is>
          <t>PASS</t>
        </is>
      </c>
      <c r="R6" s="37" t="inlineStr">
        <is>
          <t>PASS</t>
        </is>
      </c>
      <c r="S6" s="33" t="inlineStr">
        <is>
          <t>1</t>
        </is>
      </c>
    </row>
    <row r="7" ht="15" customHeight="1" s="22">
      <c r="A7" s="33" t="n">
        <v>1</v>
      </c>
      <c r="B7" s="33" t="n">
        <v>3</v>
      </c>
      <c r="C7" s="33" t="inlineStr">
        <is>
          <t>OnionNet-2</t>
        </is>
      </c>
      <c r="D7" s="33" t="inlineStr">
        <is>
          <t>62shell_saved-model.h5 (Zenodo 10728089, 885 MB)</t>
        </is>
      </c>
      <c r="E7" s="33" t="inlineStr">
        <is>
          <t>TensorFlow CPU</t>
        </is>
      </c>
      <c r="F7" s="34" t="inlineStr">
        <is>
          <t>Sí</t>
        </is>
      </c>
      <c r="G7" s="34" t="inlineStr">
        <is>
          <t>Sí</t>
        </is>
      </c>
      <c r="H7" s="37" t="n"/>
      <c r="I7" s="37" t="n">
        <v>0.864</v>
      </c>
      <c r="J7" s="38">
        <f>IF(AND(ISNUMBER(H7),ISNUMBER(I7)),H7-I7,"")</f>
        <v/>
      </c>
      <c r="K7" s="34"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 | 25/10/2026: demo Windows conda y Docker PASS en la PC del laboratorio.</t>
        </is>
      </c>
      <c r="L7" s="34" t="inlineStr">
        <is>
          <t>onionnet2</t>
        </is>
      </c>
      <c r="M7" s="34" t="inlineStr">
        <is>
          <t>demo_onionnet2.bat</t>
        </is>
      </c>
      <c r="N7" s="34" t="inlineStr">
        <is>
          <t>combilab/onionnet2:1.0</t>
        </is>
      </c>
      <c r="O7" s="34" t="inlineStr">
        <is>
          <t>docker_onionnet2.bat</t>
        </is>
      </c>
      <c r="P7" s="34" t="inlineStr">
        <is>
          <t>docker_onionnet2.sh</t>
        </is>
      </c>
      <c r="Q7" s="37" t="inlineStr">
        <is>
          <t>PASS</t>
        </is>
      </c>
      <c r="R7" s="37" t="inlineStr">
        <is>
          <t>PASS</t>
        </is>
      </c>
      <c r="S7" s="33" t="inlineStr">
        <is>
          <t>1</t>
        </is>
      </c>
    </row>
    <row r="8" ht="15" customHeight="1" s="22">
      <c r="A8" s="33" t="n">
        <v>1</v>
      </c>
      <c r="B8" s="33" t="n">
        <v>4</v>
      </c>
      <c r="C8" s="33" t="inlineStr">
        <is>
          <t>SFCNN</t>
        </is>
      </c>
      <c r="D8" s="33" t="inlineStr">
        <is>
          <t>weights_22_112-0.0083.h5 (en el repo, 5.5 MB)</t>
        </is>
      </c>
      <c r="E8" s="33" t="inlineStr">
        <is>
          <t>TensorFlow 2.3 CPU + Open Babel 3.1</t>
        </is>
      </c>
      <c r="F8" s="34" t="inlineStr">
        <is>
          <t>Sí</t>
        </is>
      </c>
      <c r="G8" s="34" t="inlineStr">
        <is>
          <t>Sí</t>
        </is>
      </c>
      <c r="H8" s="37" t="n"/>
      <c r="I8" s="37" t="n">
        <v>0.793</v>
      </c>
      <c r="J8" s="38">
        <f>IF(AND(ISNUMBER(H8),ISNUMBER(I8)),H8-I8,"")</f>
        <v/>
      </c>
      <c r="K8" s="34" t="inlineStr">
        <is>
          <t>19/10/2026: test 1a30 PASS: pKd 5.4721 idéntico a Sfcnn_2016_test.csv de los autores y 74 poses de docking iguales a test/output2 (dif. máx 0.0007). build_model() carga los pesos desde la carpeta actual. Eaves et al. reproducen PCC 0.789. Plugin: plugins/sfcnn | 25/10/2026: demo Windows conda y Docker PASS en la PC del laboratorio.</t>
        </is>
      </c>
      <c r="L8" s="34" t="inlineStr">
        <is>
          <t>sfcnn</t>
        </is>
      </c>
      <c r="M8" s="34" t="inlineStr">
        <is>
          <t>demo_sfcnn.bat</t>
        </is>
      </c>
      <c r="N8" s="34" t="inlineStr">
        <is>
          <t>combilab/sfcnn:1.0</t>
        </is>
      </c>
      <c r="O8" s="34" t="inlineStr">
        <is>
          <t>docker_sfcnn.bat</t>
        </is>
      </c>
      <c r="P8" s="34" t="inlineStr">
        <is>
          <t>docker_sfcnn.sh</t>
        </is>
      </c>
      <c r="Q8" s="37" t="inlineStr">
        <is>
          <t>PASS</t>
        </is>
      </c>
      <c r="R8" s="37" t="inlineStr">
        <is>
          <t>PASS</t>
        </is>
      </c>
      <c r="S8" s="33" t="inlineStr">
        <is>
          <t>1</t>
        </is>
      </c>
    </row>
    <row r="9" ht="15" customHeight="1" s="22">
      <c r="A9" s="33" t="n">
        <v>1</v>
      </c>
      <c r="B9" s="33" t="n">
        <v>5</v>
      </c>
      <c r="C9" s="33" t="inlineStr">
        <is>
          <t>PLANET</t>
        </is>
      </c>
      <c r="D9" s="33" t="inlineStr">
        <is>
          <t>PLANET.param (en el repo, 18.5 MB) + core.tar.bz2 (core set preparado por los autores)</t>
        </is>
      </c>
      <c r="E9" s="33" t="inlineStr">
        <is>
          <t>PyTorch 2.2 + RDKit 2023.9 (Python 3.11)</t>
        </is>
      </c>
      <c r="F9" s="34" t="inlineStr">
        <is>
          <t>Sí</t>
        </is>
      </c>
      <c r="G9" s="34" t="inlineStr">
        <is>
          <t>Sí</t>
        </is>
      </c>
      <c r="H9" s="37" t="n"/>
      <c r="I9" s="37" t="n">
        <v>0.824</v>
      </c>
      <c r="J9" s="38">
        <f>IF(AND(ISNUMBER(H9),ISNUMBER(I9)),H9-I9,"")</f>
        <v/>
      </c>
      <c r="K9" s="34" t="inlineStr">
        <is>
          <t>19/10/2026: test 1a30 PASS (5.8930 con core.tar.bz2 de los autores; 5.6216 con CASF .mol2). El .sdf de CASF de 1a30 no lo lee RDKit: usar core.tar.bz2 de los autores. demo/result.csv es de 2022 (modelo viejo), no sirve de referencia. Plugin: plugins/planet | 25/10/2026: demo Windows conda y Docker PASS en la PC del laboratorio.</t>
        </is>
      </c>
      <c r="L9" s="34" t="inlineStr">
        <is>
          <t>planet</t>
        </is>
      </c>
      <c r="M9" s="34" t="inlineStr">
        <is>
          <t>demo_planet.bat</t>
        </is>
      </c>
      <c r="N9" s="34" t="inlineStr">
        <is>
          <t>combilab/planet:1.0</t>
        </is>
      </c>
      <c r="O9" s="34" t="inlineStr">
        <is>
          <t>docker_planet.bat</t>
        </is>
      </c>
      <c r="P9" s="34" t="inlineStr">
        <is>
          <t>docker_planet.sh</t>
        </is>
      </c>
      <c r="Q9" s="37" t="inlineStr">
        <is>
          <t>PASS</t>
        </is>
      </c>
      <c r="R9" s="37" t="inlineStr">
        <is>
          <t>PASS</t>
        </is>
      </c>
      <c r="S9" s="33" t="inlineStr">
        <is>
          <t>1</t>
        </is>
      </c>
    </row>
    <row r="10" ht="15" customHeight="1" s="22">
      <c r="A10" s="33" t="n">
        <v>1</v>
      </c>
      <c r="B10" s="33" t="n">
        <v>6</v>
      </c>
      <c r="C10" s="33" t="inlineStr">
        <is>
          <t>egGNN</t>
        </is>
      </c>
      <c r="D10" s="33" t="inlineStr">
        <is>
          <t>16-8596.sav (en el repo, 11.7 MB; usado por el pipeline de los autores)</t>
        </is>
      </c>
      <c r="E10" s="33" t="inlineStr">
        <is>
          <t>PyTorch 2.2 + DGL 2.2.1 + dgllife 0.3.2 + RDKit (Python 3.10)</t>
        </is>
      </c>
      <c r="F10" s="34" t="inlineStr">
        <is>
          <t>Sí</t>
        </is>
      </c>
      <c r="G10" s="34" t="inlineStr">
        <is>
          <t>Sí</t>
        </is>
      </c>
      <c r="H10" s="37" t="n"/>
      <c r="I10" s="37" t="n">
        <v>0.86</v>
      </c>
      <c r="J10" s="38">
        <f>IF(AND(ISNUMBER(H10),ISNUMBER(I10)),H10-I10,"")</f>
        <v/>
      </c>
      <c r="K10" s="34"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 | 25/10/2026: demo Windows conda y Docker PASS en la PC del laboratorio; imagen Docker sin libcurl.so.4 (lo pide torchdata 0.8.0): se agrega libcurl4 al Dockerfile.</t>
        </is>
      </c>
      <c r="L10" s="34" t="inlineStr">
        <is>
          <t>eggnn</t>
        </is>
      </c>
      <c r="M10" s="34" t="inlineStr">
        <is>
          <t>demo_eggnn.bat</t>
        </is>
      </c>
      <c r="N10" s="34" t="inlineStr">
        <is>
          <t>combilab/eggnn:1.0</t>
        </is>
      </c>
      <c r="O10" s="34" t="inlineStr">
        <is>
          <t>docker_eggnn.bat</t>
        </is>
      </c>
      <c r="P10" s="34" t="inlineStr">
        <is>
          <t>docker_eggnn.sh</t>
        </is>
      </c>
      <c r="Q10" s="37" t="inlineStr">
        <is>
          <t>PASS</t>
        </is>
      </c>
      <c r="R10" s="37" t="inlineStr">
        <is>
          <t>PASS</t>
        </is>
      </c>
      <c r="S10" s="33" t="inlineStr">
        <is>
          <t>1</t>
        </is>
      </c>
    </row>
    <row r="11" ht="15" customHeight="1" s="22">
      <c r="A11" s="33" t="n">
        <v>1</v>
      </c>
      <c r="B11" s="33" t="n">
        <v>7</v>
      </c>
      <c r="C11" s="33" t="inlineStr">
        <is>
          <t>GIGN</t>
        </is>
      </c>
      <c r="D11" s="33" t="inlineStr">
        <is>
          <t>3 modelos en el repo (repeat0-2, .pt)</t>
        </is>
      </c>
      <c r="E11" s="33" t="inlineStr">
        <is>
          <t>PyTorch 2.2 + PyG 2.5.3 + RDKit + PyMOL + Open Babel (entorno gign, Python 3.10)</t>
        </is>
      </c>
      <c r="F11" s="34" t="inlineStr">
        <is>
          <t>Sí</t>
        </is>
      </c>
      <c r="G11" s="34" t="inlineStr">
        <is>
          <t>Sí</t>
        </is>
      </c>
      <c r="H11" s="37" t="n"/>
      <c r="I11" s="37" t="n">
        <v>0.84</v>
      </c>
      <c r="J11" s="38">
        <f>IF(AND(ISNUMBER(H11),ISNUMBER(I11)),H11-I11,"")</f>
        <v/>
      </c>
      <c r="K11" s="34"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 | 25/10/2026: demo Windows conda y Docker PASS en la PC del laboratorio; Dockerfile con libcurl4 (torchdata 0.8.0).</t>
        </is>
      </c>
      <c r="L11" s="34" t="inlineStr">
        <is>
          <t>gign</t>
        </is>
      </c>
      <c r="M11" s="34" t="inlineStr">
        <is>
          <t>demo_gign.bat</t>
        </is>
      </c>
      <c r="N11" s="34" t="inlineStr">
        <is>
          <t>combilab/gign:1.0</t>
        </is>
      </c>
      <c r="O11" s="34" t="inlineStr">
        <is>
          <t>docker_gign.bat</t>
        </is>
      </c>
      <c r="P11" s="34" t="inlineStr">
        <is>
          <t>docker_gign.sh</t>
        </is>
      </c>
      <c r="Q11" s="37" t="inlineStr">
        <is>
          <t>PASS</t>
        </is>
      </c>
      <c r="R11" s="37" t="inlineStr">
        <is>
          <t>PASS</t>
        </is>
      </c>
      <c r="S11" s="33" t="inlineStr">
        <is>
          <t>1</t>
        </is>
      </c>
    </row>
    <row r="12" ht="15" customHeight="1" s="22">
      <c r="A12" s="33" t="n">
        <v>1</v>
      </c>
      <c r="B12" s="33" t="n">
        <v>8</v>
      </c>
      <c r="C12" s="33" t="inlineStr">
        <is>
          <t>EHIGN-PLA</t>
        </is>
      </c>
      <c r="D12" s="33" t="inlineStr">
        <is>
          <t>3 modelos en el repo (repeat0-2, .pt)</t>
        </is>
      </c>
      <c r="E12" s="33" t="inlineStr">
        <is>
          <t>PyTorch 2.2 + DGL 2.2.1 + RDKit + PyMOL + Open Babel (mismo entorno gign que GIGN)</t>
        </is>
      </c>
      <c r="F12" s="34" t="inlineStr">
        <is>
          <t>Sí</t>
        </is>
      </c>
      <c r="G12" s="34" t="inlineStr">
        <is>
          <t>Sí</t>
        </is>
      </c>
      <c r="H12" s="37" t="n"/>
      <c r="I12" s="37" t="n">
        <v>0.854</v>
      </c>
      <c r="J12" s="38">
        <f>IF(AND(ISNUMBER(H12),ISNUMBER(I12)),H12-I12,"")</f>
        <v/>
      </c>
      <c r="K12" s="34"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 | 25/10/2026: demo Windows conda y Docker PASS en la PC del laboratorio; Dockerfile con libcurl4 (torchdata 0.8.0).</t>
        </is>
      </c>
      <c r="L12" s="34" t="inlineStr">
        <is>
          <t>ehign_pla</t>
        </is>
      </c>
      <c r="M12" s="34" t="inlineStr">
        <is>
          <t>demo_ehign_pla.bat</t>
        </is>
      </c>
      <c r="N12" s="34" t="inlineStr">
        <is>
          <t>combilab/ehign_pla:1.0</t>
        </is>
      </c>
      <c r="O12" s="34" t="inlineStr">
        <is>
          <t>docker_ehign_pla.bat</t>
        </is>
      </c>
      <c r="P12" s="34" t="inlineStr">
        <is>
          <t>docker_ehign_pla.sh</t>
        </is>
      </c>
      <c r="Q12" s="37" t="inlineStr">
        <is>
          <t>PASS</t>
        </is>
      </c>
      <c r="R12" s="37" t="inlineStr">
        <is>
          <t>PASS</t>
        </is>
      </c>
      <c r="S12" s="33" t="inlineStr">
        <is>
          <t>1</t>
        </is>
      </c>
    </row>
    <row r="13" ht="15" customHeight="1" s="22">
      <c r="A13" s="33" t="n">
        <v>1</v>
      </c>
      <c r="B13" s="33" t="n">
        <v>9</v>
      </c>
      <c r="C13" s="33" t="inlineStr">
        <is>
          <t>saCNN</t>
        </is>
      </c>
      <c r="D13" s="33" t="inlineStr">
        <is>
          <t>model.pkl (en el repo, 18.2 MB)</t>
        </is>
      </c>
      <c r="E13" s="33" t="inlineStr">
        <is>
          <t>PyTorch 2.5 CPU + moleculekit 1.11.5 + pdb2pqr/propka (Python 3.10); sin HTMD</t>
        </is>
      </c>
      <c r="F13" s="34" t="inlineStr">
        <is>
          <t>Sí</t>
        </is>
      </c>
      <c r="G13" s="34" t="inlineStr">
        <is>
          <t>Sí</t>
        </is>
      </c>
      <c r="H13" s="37" t="n"/>
      <c r="I13" s="37" t="n">
        <v>0.865</v>
      </c>
      <c r="J13" s="38">
        <f>IF(AND(ISNUMBER(H13),ISNUMBER(I13)),H13-I13,"")</f>
        <v/>
      </c>
      <c r="K13" s="34"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 | 25/10/2026: demo Windows conda y Docker PASS en la PC del laboratorio; al entorno conda y a la imagen les faltaba Open Babel (el atom typer de moleculekit importa openbabel.pybel; fallaba con un .csv temporal inexistente): se agrega openbabel=3.1.1.</t>
        </is>
      </c>
      <c r="L13" s="34" t="inlineStr">
        <is>
          <t>sacnn</t>
        </is>
      </c>
      <c r="M13" s="34" t="inlineStr">
        <is>
          <t>demo_sacnn.bat</t>
        </is>
      </c>
      <c r="N13" s="34" t="inlineStr">
        <is>
          <t>combilab/sacnn:1.0</t>
        </is>
      </c>
      <c r="O13" s="34" t="inlineStr">
        <is>
          <t>docker_sacnn.bat</t>
        </is>
      </c>
      <c r="P13" s="34" t="inlineStr">
        <is>
          <t>docker_sacnn.sh</t>
        </is>
      </c>
      <c r="Q13" s="37" t="inlineStr">
        <is>
          <t>PASS</t>
        </is>
      </c>
      <c r="R13" s="37" t="inlineStr">
        <is>
          <t>PASS</t>
        </is>
      </c>
      <c r="S13" s="33" t="inlineStr">
        <is>
          <t>1</t>
        </is>
      </c>
    </row>
    <row r="14" ht="15" customHeight="1" s="22">
      <c r="A14" s="33" t="n">
        <v>1</v>
      </c>
      <c r="B14" s="33" t="n">
        <v>10</v>
      </c>
      <c r="C14" s="33" t="inlineStr">
        <is>
          <t>DEAttentionDTA</t>
        </is>
      </c>
      <c r="D14" s="33" t="inlineStr">
        <is>
          <t>10 modelos Fold 1–10 (en el repo, 89 MB; se promedian)</t>
        </is>
      </c>
      <c r="E14" s="33" t="inlineStr">
        <is>
          <t>PyTorch 2.2 + Open Babel 3.1.1 (Python 3.10)</t>
        </is>
      </c>
      <c r="F14" s="34" t="inlineStr">
        <is>
          <t>Sí</t>
        </is>
      </c>
      <c r="G14" s="34" t="inlineStr">
        <is>
          <t>Sí</t>
        </is>
      </c>
      <c r="H14" s="37" t="n"/>
      <c r="I14" s="37" t="n">
        <v>0.845</v>
      </c>
      <c r="J14" s="38">
        <f>IF(AND(ISNUMBER(H14),ISNUMBER(I14)),H14-I14,"")</f>
        <v/>
      </c>
      <c r="K14" s="34"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 | 25/10/2026: demo Windows conda y Docker PASS en la PC del laboratorio.</t>
        </is>
      </c>
      <c r="L14" s="34" t="inlineStr">
        <is>
          <t>deattentiondta</t>
        </is>
      </c>
      <c r="M14" s="34" t="inlineStr">
        <is>
          <t>demo_deattentiondta.bat</t>
        </is>
      </c>
      <c r="N14" s="34" t="inlineStr">
        <is>
          <t>combilab/deattentiondta:1.0</t>
        </is>
      </c>
      <c r="O14" s="34" t="inlineStr">
        <is>
          <t>docker_deattentiondta.bat</t>
        </is>
      </c>
      <c r="P14" s="34" t="inlineStr">
        <is>
          <t>docker_deattentiondta.sh</t>
        </is>
      </c>
      <c r="Q14" s="37" t="inlineStr">
        <is>
          <t>PASS</t>
        </is>
      </c>
      <c r="R14" s="37" t="inlineStr">
        <is>
          <t>PASS</t>
        </is>
      </c>
      <c r="S14" s="33" t="inlineStr">
        <is>
          <t>1</t>
        </is>
      </c>
    </row>
    <row r="15" ht="15" customHeight="1" s="22">
      <c r="A15" s="33" t="n">
        <v>1</v>
      </c>
      <c r="B15" s="33" t="n">
        <v>11</v>
      </c>
      <c r="C15" s="33" t="inlineStr">
        <is>
          <t>RFL-Score</t>
        </is>
      </c>
      <c r="D15" s="33" t="inlineStr">
        <is>
          <t>scoring/RScript/model/scoring_function_160.rda en el repo (Random Forest de R, 160 features; MD5 d1ad344e…)</t>
        </is>
      </c>
      <c r="E15" s="33" t="inlineStr">
        <is>
          <t>R + randomForest (test Windows conda). Pipeline completo de features (solo Linux → Docker): Open Babel 2.4.1, PaDEL (Java 11), DSSP, MGLTools 1.5.7, vina4dv, ODDT 0.7, RDKit 2020.09 (Python 3.7)</t>
        </is>
      </c>
      <c r="F15" s="34" t="inlineStr">
        <is>
          <t>Sí</t>
        </is>
      </c>
      <c r="G15" s="34" t="inlineStr">
        <is>
          <t>Sí</t>
        </is>
      </c>
      <c r="H15" s="37" t="n"/>
      <c r="I15" s="37" t="n"/>
      <c r="J15" s="38">
        <f>IF(AND(ISNUMBER(H15),ISNUMBER(I15)),H15-I15,"")</f>
        <v/>
      </c>
      <c r="K15" s="34"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34" t="inlineStr">
        <is>
          <t>rfl_score</t>
        </is>
      </c>
      <c r="M15" s="34" t="inlineStr">
        <is>
          <t>demo_rfl_score.bat (solo modelo)</t>
        </is>
      </c>
      <c r="N15" s="34" t="inlineStr">
        <is>
          <t>combilab/rfl_score:1.1</t>
        </is>
      </c>
      <c r="O15" s="34" t="inlineStr">
        <is>
          <t>docker_rfl_score.bat</t>
        </is>
      </c>
      <c r="P15" s="34" t="inlineStr">
        <is>
          <t>docker_rfl_score.sh</t>
        </is>
      </c>
      <c r="Q15" s="37" t="inlineStr">
        <is>
          <t>PASS</t>
        </is>
      </c>
      <c r="R15" s="37" t="inlineStr">
        <is>
          <t>Pendiente</t>
        </is>
      </c>
      <c r="S15" s="33" t="inlineStr">
        <is>
          <t>1</t>
        </is>
      </c>
    </row>
    <row r="16" ht="15" customHeight="1" s="22">
      <c r="A16" s="33" t="n">
        <v>2</v>
      </c>
      <c r="B16" s="33" t="n">
        <v>1</v>
      </c>
      <c r="C16" s="33" t="inlineStr">
        <is>
          <t>DeepBindGCN</t>
        </is>
      </c>
      <c r="D16" s="33" t="inlineStr">
        <is>
          <t>GitHub release v1.0.0: full_model_out2000_RG.model (MD5 aaa69454…)</t>
        </is>
      </c>
      <c r="E16" s="33" t="inlineStr">
        <is>
          <t>PyTorch 2.2 + PyG 2.5.3 + RDKit (Python 3.10)</t>
        </is>
      </c>
      <c r="F16" s="34" t="inlineStr">
        <is>
          <t>Sí</t>
        </is>
      </c>
      <c r="G16" s="34" t="inlineStr">
        <is>
          <t>Sí</t>
        </is>
      </c>
      <c r="H16" s="37" t="n"/>
      <c r="I16" s="37" t="n">
        <v>0.75</v>
      </c>
      <c r="J16" s="38">
        <f>IF(AND(ISNUMBER(H16),ISNUMBER(I16)),H16-I16,"")</f>
        <v/>
      </c>
      <c r="K16" s="34"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34" t="inlineStr">
        <is>
          <t>deepbindgcn</t>
        </is>
      </c>
      <c r="M16" s="34" t="inlineStr">
        <is>
          <t>demo_deepbindgcn.bat</t>
        </is>
      </c>
      <c r="N16" s="34" t="inlineStr">
        <is>
          <t>combilab/deepbindgcn:1.0</t>
        </is>
      </c>
      <c r="O16" s="34" t="inlineStr">
        <is>
          <t>docker_deepbindgcn.bat</t>
        </is>
      </c>
      <c r="P16" s="34" t="inlineStr">
        <is>
          <t>docker_deepbindgcn.sh</t>
        </is>
      </c>
      <c r="Q16" s="37" t="inlineStr">
        <is>
          <t>Pendiente</t>
        </is>
      </c>
      <c r="R16" s="37" t="inlineStr">
        <is>
          <t>Pendiente</t>
        </is>
      </c>
      <c r="S16" s="33" t="inlineStr">
        <is>
          <t>1</t>
        </is>
      </c>
    </row>
    <row r="17" ht="15" customHeight="1" s="22">
      <c r="A17" s="33" t="n">
        <v>2</v>
      </c>
      <c r="B17" s="33" t="n">
        <v>2</v>
      </c>
      <c r="C17" s="33" t="inlineStr">
        <is>
          <t>HAC-Net</t>
        </is>
      </c>
      <c r="D17" s="33" t="inlineStr">
        <is>
          <t>HACNet/parameter_files en el repo (4 .pt) + paquete PyPI HACNet 1.4.3</t>
        </is>
      </c>
      <c r="E17" s="33" t="inlineStr">
        <is>
          <t>PyTorch 2.2 + PyG 2.5.3 + Open Babel + PyMOL; cargas EqEq: servicio web ACC2 o ChargeFW2 local (Docker)</t>
        </is>
      </c>
      <c r="F17" s="34" t="inlineStr">
        <is>
          <t>Sí</t>
        </is>
      </c>
      <c r="G17" s="34" t="inlineStr">
        <is>
          <t>Sí</t>
        </is>
      </c>
      <c r="H17" s="37" t="n"/>
      <c r="I17" s="37" t="n">
        <v>0.846</v>
      </c>
      <c r="J17" s="38">
        <f>IF(AND(ISNUMBER(H17),ISNUMBER(I17)),H17-I17,"")</f>
        <v/>
      </c>
      <c r="K17" s="34"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34" t="inlineStr">
        <is>
          <t>hacnet</t>
        </is>
      </c>
      <c r="M17" s="34" t="inlineStr">
        <is>
          <t>demo_hacnet.bat</t>
        </is>
      </c>
      <c r="N17" s="34" t="inlineStr">
        <is>
          <t>combilab/hacnet:1.0</t>
        </is>
      </c>
      <c r="O17" s="34" t="inlineStr">
        <is>
          <t>docker_hacnet.bat</t>
        </is>
      </c>
      <c r="P17" s="34" t="inlineStr">
        <is>
          <t>docker_hacnet.sh</t>
        </is>
      </c>
      <c r="Q17" s="37" t="inlineStr">
        <is>
          <t>Pendiente</t>
        </is>
      </c>
      <c r="R17" s="37" t="inlineStr">
        <is>
          <t>PASS</t>
        </is>
      </c>
      <c r="S17" s="33" t="inlineStr">
        <is>
          <t>1</t>
        </is>
      </c>
    </row>
    <row r="18" ht="15" customHeight="1" s="22">
      <c r="A18" s="33" t="n">
        <v>2</v>
      </c>
      <c r="B18" s="33" t="n">
        <v>3</v>
      </c>
      <c r="C18" s="33" t="inlineStr">
        <is>
          <t>delta_LinF9_XGB</t>
        </is>
      </c>
      <c r="D18" s="33" t="inlineStr">
        <is>
          <t>saved_model/mod_1..10.pickle.dat en el repo (xgboost 1.2.0)</t>
        </is>
      </c>
      <c r="E18" s="33" t="inlineStr">
        <is>
          <t>Solo Linux: smina (repo), MSMS, MGLTools 1.5.7 (Python 2), AlphaSpace2, xgboost 1.2.0 → en Windows vía Docker/WSL</t>
        </is>
      </c>
      <c r="F18" s="34" t="inlineStr">
        <is>
          <t>Sí</t>
        </is>
      </c>
      <c r="G18" s="34" t="inlineStr">
        <is>
          <t>Sí</t>
        </is>
      </c>
      <c r="H18" s="37" t="n"/>
      <c r="I18" s="37" t="n">
        <v>0.845</v>
      </c>
      <c r="J18" s="38">
        <f>IF(AND(ISNUMBER(H18),ISNUMBER(I18)),H18-I18,"")</f>
        <v/>
      </c>
      <c r="K18" s="34"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34" t="inlineStr">
        <is>
          <t>delta_linf9_xgb</t>
        </is>
      </c>
      <c r="M18" s="34" t="inlineStr">
        <is>
          <t>no (solo Linux) → usar Docker</t>
        </is>
      </c>
      <c r="N18" s="34" t="inlineStr">
        <is>
          <t>combilab/delta_linf9_xgb:1.0</t>
        </is>
      </c>
      <c r="O18" s="34" t="inlineStr">
        <is>
          <t>docker_delta_linf9_xgb.bat</t>
        </is>
      </c>
      <c r="P18" s="34" t="inlineStr">
        <is>
          <t>docker_delta_linf9_xgb.sh</t>
        </is>
      </c>
      <c r="Q18" s="37" t="inlineStr">
        <is>
          <t>PASS</t>
        </is>
      </c>
      <c r="R18" s="37" t="inlineStr">
        <is>
          <t>—</t>
        </is>
      </c>
      <c r="S18" s="33" t="inlineStr">
        <is>
          <t>1</t>
        </is>
      </c>
    </row>
    <row r="19" ht="15" customHeight="1" s="22">
      <c r="A19" s="33" t="n">
        <v>2</v>
      </c>
      <c r="B19" s="33" t="n">
        <v>4</v>
      </c>
      <c r="C19" s="33" t="inlineStr">
        <is>
          <t>GraphscoreDTA</t>
        </is>
      </c>
      <c r="D19" s="33" t="inlineStr">
        <is>
          <t>model/modelp.pth en el repo + grafos CASF-2016 preparados (release Data, 35 MB)</t>
        </is>
      </c>
      <c r="E19" s="33" t="inlineStr">
        <is>
          <t>PyTorch 2.2 + DGL 2.2.1 (Python 3.10)</t>
        </is>
      </c>
      <c r="F19" s="34" t="inlineStr">
        <is>
          <t>Sí</t>
        </is>
      </c>
      <c r="G19" s="34" t="inlineStr">
        <is>
          <t>Sí</t>
        </is>
      </c>
      <c r="H19" s="37" t="n"/>
      <c r="I19" s="37" t="n">
        <v>0.831</v>
      </c>
      <c r="J19" s="38">
        <f>IF(AND(ISNUMBER(H19),ISNUMBER(I19)),H19-I19,"")</f>
        <v/>
      </c>
      <c r="K19" s="34"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34" t="inlineStr">
        <is>
          <t>graphscoredta</t>
        </is>
      </c>
      <c r="M19" s="34" t="inlineStr">
        <is>
          <t>demo_graphscoredta.bat</t>
        </is>
      </c>
      <c r="N19" s="34" t="inlineStr">
        <is>
          <t>combilab/graphscoredta:1.0</t>
        </is>
      </c>
      <c r="O19" s="34" t="inlineStr">
        <is>
          <t>docker_graphscoredta.bat</t>
        </is>
      </c>
      <c r="P19" s="34" t="inlineStr">
        <is>
          <t>docker_graphscoredta.sh</t>
        </is>
      </c>
      <c r="Q19" s="37" t="inlineStr">
        <is>
          <t>Pendiente</t>
        </is>
      </c>
      <c r="R19" s="37" t="inlineStr">
        <is>
          <t>Pendiente</t>
        </is>
      </c>
      <c r="S19" s="33" t="inlineStr">
        <is>
          <t>1</t>
        </is>
      </c>
    </row>
    <row r="20" ht="15" customHeight="1" s="22">
      <c r="A20" s="33" t="n">
        <v>2</v>
      </c>
      <c r="B20" s="33" t="n">
        <v>5</v>
      </c>
      <c r="C20" s="33" t="inlineStr">
        <is>
          <t>IGModel</t>
        </is>
      </c>
      <c r="D20" s="33" t="inlineStr">
        <is>
          <t>models/saved_model.pth y self-ref_model.pth en el repo</t>
        </is>
      </c>
      <c r="E20" s="33" t="inlineStr">
        <is>
          <t>PyTorch 2.2 + DGL 2.2.1 + RDKit + Open Babel 3.1.1 + spyrmsd (Python 3.10)</t>
        </is>
      </c>
      <c r="F20" s="34" t="inlineStr">
        <is>
          <t>Sí</t>
        </is>
      </c>
      <c r="G20" s="34" t="inlineStr">
        <is>
          <t>Sí</t>
        </is>
      </c>
      <c r="H20" s="37" t="n"/>
      <c r="I20" s="37" t="n">
        <v>0.831</v>
      </c>
      <c r="J20" s="38">
        <f>IF(AND(ISNUMBER(H20),ISNUMBER(I20)),H20-I20,"")</f>
        <v/>
      </c>
      <c r="K20" s="34" t="inlineStr">
        <is>
          <t>21/10/2026: test PASS: reproduce el notebook de los autores (1bcu, 10 poses, dif. 3e-6); 1a30 = 5.0653 (modo referencia; self-ref 5.4664). El .sdf de 1a30 no lo lee RDKit: usar .mol2. Eaves usa modo self-ref con saved_model.pth. Plugin: plugins/igmodel | 25/10/2026: Dockerfile con libcurl4 (torchdata 0.8.0 pide libcurl.so.4; mismo fallo que egGNN). Falta probar en la PC.</t>
        </is>
      </c>
      <c r="L20" s="34" t="inlineStr">
        <is>
          <t>igmodel</t>
        </is>
      </c>
      <c r="M20" s="34" t="inlineStr">
        <is>
          <t>demo_igmodel.bat</t>
        </is>
      </c>
      <c r="N20" s="34" t="inlineStr">
        <is>
          <t>combilab/igmodel:1.0</t>
        </is>
      </c>
      <c r="O20" s="34" t="inlineStr">
        <is>
          <t>docker_igmodel.bat</t>
        </is>
      </c>
      <c r="P20" s="34" t="inlineStr">
        <is>
          <t>docker_igmodel.sh</t>
        </is>
      </c>
      <c r="Q20" s="37" t="inlineStr">
        <is>
          <t>Pendiente</t>
        </is>
      </c>
      <c r="R20" s="37" t="inlineStr">
        <is>
          <t>Pendiente</t>
        </is>
      </c>
      <c r="S20" s="33" t="inlineStr">
        <is>
          <t>1</t>
        </is>
      </c>
    </row>
    <row r="21" ht="15" customHeight="1" s="22">
      <c r="A21" s="33" t="n">
        <v>2</v>
      </c>
      <c r="B21" s="33" t="n">
        <v>6</v>
      </c>
      <c r="C21" s="33" t="inlineStr">
        <is>
          <t>ConBAP</t>
        </is>
      </c>
      <c r="D21" s="33" t="inlineStr">
        <is>
          <t>modelo contrastivo + cabeza de afinidad repeat0 en el repo</t>
        </is>
      </c>
      <c r="E21" s="33" t="inlineStr">
        <is>
          <t>PyTorch 2.2 + PyG 2.5.3 + torch_scatter/cluster + GVP-GNN + RDKit + PyMOL (Python 3.10)</t>
        </is>
      </c>
      <c r="F21" s="34" t="inlineStr">
        <is>
          <t>Sí</t>
        </is>
      </c>
      <c r="G21" s="34" t="inlineStr">
        <is>
          <t>Sí</t>
        </is>
      </c>
      <c r="H21" s="37" t="n"/>
      <c r="I21" s="37" t="n">
        <v>0.864</v>
      </c>
      <c r="J21" s="38">
        <f>IF(AND(ISNUMBER(H21),ISNUMBER(I21)),H21-I21,"")</f>
        <v/>
      </c>
      <c r="K21" s="34"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34" t="inlineStr">
        <is>
          <t>conbap</t>
        </is>
      </c>
      <c r="M21" s="34" t="inlineStr">
        <is>
          <t>demo_conbap.bat</t>
        </is>
      </c>
      <c r="N21" s="34" t="inlineStr">
        <is>
          <t>combilab/conbap:1.0</t>
        </is>
      </c>
      <c r="O21" s="34" t="inlineStr">
        <is>
          <t>docker_conbap.bat</t>
        </is>
      </c>
      <c r="P21" s="34" t="inlineStr">
        <is>
          <t>docker_conbap.sh</t>
        </is>
      </c>
      <c r="Q21" s="37" t="inlineStr">
        <is>
          <t>Pendiente</t>
        </is>
      </c>
      <c r="R21" s="37" t="inlineStr">
        <is>
          <t>Pendiente</t>
        </is>
      </c>
      <c r="S21" s="33" t="inlineStr">
        <is>
          <t>1</t>
        </is>
      </c>
    </row>
    <row r="22" ht="15" customHeight="1" s="22">
      <c r="A22" s="33" t="n">
        <v>2</v>
      </c>
      <c r="B22" s="33" t="n">
        <v>7</v>
      </c>
      <c r="C22" s="33" t="inlineStr">
        <is>
          <t>CPIScore</t>
        </is>
      </c>
      <c r="D22" s="33" t="inlineStr">
        <is>
          <t>result/model.pkl (incompleto)</t>
        </is>
      </c>
      <c r="E22" s="33" t="inlineStr">
        <is>
          <t>—</t>
        </is>
      </c>
      <c r="F22" s="34" t="inlineStr">
        <is>
          <t>No</t>
        </is>
      </c>
      <c r="G22" s="34" t="inlineStr">
        <is>
          <t>No</t>
        </is>
      </c>
      <c r="H22" s="37" t="n"/>
      <c r="I22" s="37" t="n">
        <v>0.74</v>
      </c>
      <c r="J22" s="38">
        <f>IF(AND(ISNUMBER(H22),ISNUMBER(I22)),H22-I22,"")</f>
        <v/>
      </c>
      <c r="K22" s="34" t="inlineStr">
        <is>
          <t>21/10/2026: DESCARTADA. Faltan los modelos word2vec (SMILES 256d y proteína 512d) que usan sus features, y la rama Transformer se crea con pesos aleatorios en cada forward (no está en model.pkl): predicciones no reproducibles. Ver plugins/cpiscore/INSTALL.md | 23/10/2026: también figura en la Lista 2 (revisión de Transformers: repositorio sí, documentado no, ejecutado no).</t>
        </is>
      </c>
      <c r="L22" s="21" t="inlineStr">
        <is>
          <t>cpiscore</t>
        </is>
      </c>
      <c r="M22" s="21" t="inlineStr">
        <is>
          <t>—</t>
        </is>
      </c>
      <c r="N22" s="21" t="inlineStr">
        <is>
          <t>—</t>
        </is>
      </c>
      <c r="O22" s="21" t="inlineStr">
        <is>
          <t>—</t>
        </is>
      </c>
      <c r="P22" s="21" t="inlineStr">
        <is>
          <t>—</t>
        </is>
      </c>
      <c r="Q22" s="21" t="inlineStr">
        <is>
          <t>No aplica</t>
        </is>
      </c>
      <c r="R22" s="21" t="inlineStr">
        <is>
          <t>No aplica</t>
        </is>
      </c>
      <c r="S22" s="39" t="inlineStr">
        <is>
          <t>1 y 2</t>
        </is>
      </c>
    </row>
    <row r="23" ht="15" customHeight="1" s="22">
      <c r="A23" s="33" t="n">
        <v>3</v>
      </c>
      <c r="B23" s="33" t="n">
        <v>1</v>
      </c>
      <c r="C23" s="33" t="inlineStr">
        <is>
          <t>PointNet</t>
        </is>
      </c>
      <c r="D23" s="33" t="inlineStr">
        <is>
          <t>5 PointTransformer + 5 PointNet (.pth) en el repo, conjunto grande (B)</t>
        </is>
      </c>
      <c r="E23" s="33" t="inlineStr">
        <is>
          <t>PyTorch 2.2 CPU (Python 3.10) + Open Babel; programa POINTNET (solo Linux) para la nube de puntos</t>
        </is>
      </c>
      <c r="F23" s="34" t="inlineStr">
        <is>
          <t>Sí</t>
        </is>
      </c>
      <c r="G23" s="34" t="inlineStr">
        <is>
          <t>Sí</t>
        </is>
      </c>
      <c r="H23" s="37" t="n"/>
      <c r="I23" s="37" t="n">
        <v>0.859</v>
      </c>
      <c r="J23" s="38">
        <f>IF(AND(ISNUMBER(H23),ISNUMBER(I23)),H23-I23,"")</f>
        <v/>
      </c>
      <c r="K23" s="34"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21" t="inlineStr">
        <is>
          <t>pointnet</t>
        </is>
      </c>
      <c r="M23" s="21" t="inlineStr">
        <is>
          <t>demo_pointnet.bat (solo modelos)</t>
        </is>
      </c>
      <c r="N23" s="21" t="inlineStr">
        <is>
          <t>combilab/pointnet:1.0</t>
        </is>
      </c>
      <c r="O23" s="21" t="inlineStr">
        <is>
          <t>docker_pointnet.bat</t>
        </is>
      </c>
      <c r="P23" s="21" t="inlineStr">
        <is>
          <t>docker_pointnet.sh</t>
        </is>
      </c>
      <c r="Q23" s="21" t="inlineStr">
        <is>
          <t>Pendiente</t>
        </is>
      </c>
      <c r="R23" s="21" t="inlineStr">
        <is>
          <t>Pendiente</t>
        </is>
      </c>
      <c r="S23" s="33" t="inlineStr">
        <is>
          <t>1</t>
        </is>
      </c>
    </row>
    <row r="24" ht="15" customHeight="1" s="22">
      <c r="A24" s="33" t="n">
        <v>3</v>
      </c>
      <c r="B24" s="33" t="n">
        <v>2</v>
      </c>
      <c r="C24" s="33" t="inlineStr">
        <is>
          <t>PIGNet2</t>
        </is>
      </c>
      <c r="D24" s="33" t="inlineStr">
        <is>
          <t>src/ckpt/pda_0..3.pt en el repo (4 modelos, se promedian)</t>
        </is>
      </c>
      <c r="E24" s="33" t="inlineStr">
        <is>
          <t>PyTorch 2.2 CPU + PyG 2.0.3 + torch_scatter/sparse + RDKit 2022.03.4 + PyMOL (Python 3.9); no necesita GPU</t>
        </is>
      </c>
      <c r="F24" s="34" t="inlineStr">
        <is>
          <t>Sí</t>
        </is>
      </c>
      <c r="G24" s="34" t="inlineStr">
        <is>
          <t>Sí</t>
        </is>
      </c>
      <c r="H24" s="37" t="n"/>
      <c r="I24" s="37" t="n">
        <v>0.747</v>
      </c>
      <c r="J24" s="38">
        <f>IF(AND(ISNUMBER(H24),ISNUMBER(I24)),H24-I24,"")</f>
        <v/>
      </c>
      <c r="K24" s="34"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21" t="inlineStr">
        <is>
          <t>pignet2</t>
        </is>
      </c>
      <c r="M24" s="21" t="inlineStr">
        <is>
          <t>demo_pignet2.bat</t>
        </is>
      </c>
      <c r="N24" s="21" t="inlineStr">
        <is>
          <t>combilab/pignet2:1.0</t>
        </is>
      </c>
      <c r="O24" s="21" t="inlineStr">
        <is>
          <t>docker_pignet2.bat</t>
        </is>
      </c>
      <c r="P24" s="21" t="inlineStr">
        <is>
          <t>docker_pignet2.sh</t>
        </is>
      </c>
      <c r="Q24" s="21" t="inlineStr">
        <is>
          <t>Pendiente</t>
        </is>
      </c>
      <c r="R24" s="21" t="inlineStr">
        <is>
          <t>Pendiente</t>
        </is>
      </c>
      <c r="S24" s="33" t="inlineStr">
        <is>
          <t>1</t>
        </is>
      </c>
    </row>
    <row r="25" ht="15" customHeight="1" s="22">
      <c r="A25" s="33" t="n">
        <v>3</v>
      </c>
      <c r="B25" s="33" t="n">
        <v>3</v>
      </c>
      <c r="C25" s="33" t="inlineStr">
        <is>
          <t>Dynaformer</t>
        </is>
      </c>
      <c r="D25" s="33" t="n"/>
      <c r="E25" s="33" t="inlineStr">
        <is>
          <t>GPU</t>
        </is>
      </c>
      <c r="F25" s="34" t="n"/>
      <c r="G25" s="34" t="n"/>
      <c r="H25" s="37" t="n"/>
      <c r="I25" s="37" t="n"/>
      <c r="J25" s="38">
        <f>IF(AND(ISNUMBER(H25),ISNUMBER(I25)),H25-I25,"")</f>
        <v/>
      </c>
      <c r="K25" s="34" t="inlineStr">
        <is>
          <t>22/10/2026: checkpoints model1-3.pt solo en OneDrive (link en checkpoint/README.md), no accesible desde las máquinas de prueba. Falta descargarlos a mano. Basado en fairseq/Graphormer (solo Linux -&gt; Docker); además trae predicciones de los autores en CASF-2016 para comparar | 26/10/2026: Reintentado: 1drv.ms/OneDrive bloqueado desde la nube y desde la PC. El fork de Eaves et al. (jeavesj/Dynaformer) tampoco trae los checkpoints. Opciones: habilitar el dominio o bajar model1-3.pt a mano desde el navegador.</t>
        </is>
      </c>
      <c r="Q25" s="21" t="n"/>
      <c r="R25" s="21" t="n"/>
      <c r="S25" s="33" t="inlineStr">
        <is>
          <t>1</t>
        </is>
      </c>
    </row>
    <row r="26" ht="15" customHeight="1" s="22">
      <c r="A26" s="33" t="n">
        <v>3</v>
      </c>
      <c r="B26" s="33" t="n">
        <v>4</v>
      </c>
      <c r="C26" s="33" t="inlineStr">
        <is>
          <t>TopoFormer</t>
        </is>
      </c>
      <c r="D26" s="33" t="n"/>
      <c r="E26" s="33" t="inlineStr">
        <is>
          <t>GPU / descargas grandes</t>
        </is>
      </c>
      <c r="F26" s="34" t="n"/>
      <c r="G26" s="34" t="n"/>
      <c r="H26" s="37" t="n"/>
      <c r="I26" s="37" t="n"/>
      <c r="J26" s="38">
        <f>IF(AND(ISNUMBER(H26),ISNUMBER(I26)),H26-I26,"")</f>
        <v/>
      </c>
      <c r="K26" s="34" t="inlineStr">
        <is>
          <t>22/10/2026: los 3 modelos fine-tuned para CASF-2016 (finetuned_casf2016_3models.tar.gz) y los pre-entrenados están solo en weilab.math.msu.edu, que no es accesible desde las máquinas de prueba (Zenodo 10892800 solo tiene el código). Falta descargarlos a mano o habilitar el dominio. PyTorch + transformers; features PTHL propias | 26/10/2026: Reintentado: weilab.math.msu.edu bloqueado desde la nube y desde la PC; el fork jeavesj/TopoFormer y Zenodo 10892800 solo tienen el código. Falta finetuned_casf2016_3models.tar.gz (bajarlo a mano o habilitar el dominio).</t>
        </is>
      </c>
      <c r="Q26" s="21" t="n"/>
      <c r="R26" s="21" t="n"/>
      <c r="S26" s="33" t="inlineStr">
        <is>
          <t>1</t>
        </is>
      </c>
    </row>
    <row r="27" ht="15" customHeight="1" s="22">
      <c r="A27" s="33" t="n">
        <v>3</v>
      </c>
      <c r="B27" s="33" t="n">
        <v>5</v>
      </c>
      <c r="C27" s="33" t="inlineStr">
        <is>
          <t>BAPA</t>
        </is>
      </c>
      <c r="D27" s="33" t="inlineStr">
        <is>
          <t>module/network/BAPA_network.* en el repo (TensorFlow 1)</t>
        </is>
      </c>
      <c r="E27" s="33" t="inlineStr">
        <is>
          <t>TensorFlow 1.12 CPU + Open Babel 2.4.1 (Python 3.6) + rf-extract (RF-Score, fork lachrymator; binarios en plugins/bapa/bin)</t>
        </is>
      </c>
      <c r="F27" s="34" t="inlineStr">
        <is>
          <t>Sí</t>
        </is>
      </c>
      <c r="G27" s="34" t="inlineStr">
        <is>
          <t>Sí</t>
        </is>
      </c>
      <c r="H27" s="37" t="n"/>
      <c r="I27" s="37" t="n">
        <v>0.819</v>
      </c>
      <c r="J27" s="38">
        <f>IF(AND(ISNUMBER(H27),ISNUMBER(I27)),H27-I27,"")</f>
        <v/>
      </c>
      <c r="K27" s="34"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s="21" t="inlineStr">
        <is>
          <t>bapa</t>
        </is>
      </c>
      <c r="M27" s="21" t="inlineStr">
        <is>
          <t>demo_bapa.bat</t>
        </is>
      </c>
      <c r="N27" s="21" t="inlineStr">
        <is>
          <t>combilab/bapa:1.0</t>
        </is>
      </c>
      <c r="O27" s="21" t="inlineStr">
        <is>
          <t>docker_bapa.bat</t>
        </is>
      </c>
      <c r="P27" s="21" t="inlineStr">
        <is>
          <t>docker_bapa.sh</t>
        </is>
      </c>
      <c r="Q27" s="21" t="inlineStr">
        <is>
          <t>Pendiente</t>
        </is>
      </c>
      <c r="R27" s="21" t="inlineStr">
        <is>
          <t>Pendiente</t>
        </is>
      </c>
      <c r="S27" s="33" t="inlineStr">
        <is>
          <t>1</t>
        </is>
      </c>
    </row>
    <row r="28" ht="15" customHeight="1" s="22">
      <c r="A28" s="33" t="n">
        <v>3</v>
      </c>
      <c r="B28" s="33" t="n">
        <v>6</v>
      </c>
      <c r="C28" s="33" t="inlineStr">
        <is>
          <t>CGraphDTA</t>
        </is>
      </c>
      <c r="D28" s="33" t="n"/>
      <c r="E28" s="33" t="inlineStr">
        <is>
          <t>Bases HHblits/BLAST</t>
        </is>
      </c>
      <c r="F28" s="34" t="n"/>
      <c r="G28" s="34" t="n"/>
      <c r="H28" s="37" t="n"/>
      <c r="I28" s="37" t="n"/>
      <c r="J28" s="38">
        <f>IF(AND(ISNUMBER(H28),ISNUMBER(I28)),H28-I28,"")</f>
        <v/>
      </c>
      <c r="K28" s="34" t="inlineStr">
        <is>
          <t>22/10/2026: modelo en el repo, pero necesita BLAST+/UniRef90, HH-suite/Uniclust30, DSSP y Mol2vec (bases de cientos de GB)</t>
        </is>
      </c>
      <c r="Q28" s="21" t="n"/>
      <c r="R28" s="21" t="n"/>
      <c r="S28" s="33" t="inlineStr">
        <is>
          <t>1</t>
        </is>
      </c>
    </row>
    <row r="29" ht="15" customHeight="1" s="22">
      <c r="A29" s="33" t="n">
        <v>3</v>
      </c>
      <c r="B29" s="33" t="n">
        <v>7</v>
      </c>
      <c r="C29" s="33" t="inlineStr">
        <is>
          <t>EGNA</t>
        </is>
      </c>
      <c r="D29" s="33" t="n"/>
      <c r="E29" s="33" t="inlineStr">
        <is>
          <t>Bases HHblits/BLAST</t>
        </is>
      </c>
      <c r="F29" s="34" t="n"/>
      <c r="G29" s="34" t="n"/>
      <c r="H29" s="37" t="n"/>
      <c r="I29" s="37" t="n"/>
      <c r="J29" s="38">
        <f>IF(AND(ISNUMBER(H29),ISNUMBER(I29)),H29-I29,"")</f>
        <v/>
      </c>
      <c r="K29" s="34" t="inlineStr">
        <is>
          <t>22/10/2026: 5 modelos en el repo; necesita HHblits + Uniclust30 | 26/10/2026: El fork jeavesj/EGNA tampoco trae perfiles HHblits precalculados. Para el test 1a30 alcanza con el .hhm de la secuencia de 1a30 (se puede generar en el servidor web HHblits del MPI Toolkit).</t>
        </is>
      </c>
      <c r="Q29" s="21" t="n"/>
      <c r="R29" s="21" t="n"/>
      <c r="S29" s="33" t="inlineStr">
        <is>
          <t>1</t>
        </is>
      </c>
    </row>
    <row r="30" ht="15" customHeight="1" s="22">
      <c r="A30" s="33" t="n">
        <v>3</v>
      </c>
      <c r="B30" s="33" t="n">
        <v>8</v>
      </c>
      <c r="C30" s="33" t="inlineStr">
        <is>
          <t>HydraScreen</t>
        </is>
      </c>
      <c r="D30" s="33" t="inlineStr">
        <is>
          <t>API con registro</t>
        </is>
      </c>
      <c r="E30" s="33" t="n"/>
      <c r="F30" s="34" t="inlineStr">
        <is>
          <t>No</t>
        </is>
      </c>
      <c r="G30" s="34" t="inlineStr">
        <is>
          <t>No</t>
        </is>
      </c>
      <c r="H30" s="37" t="n"/>
      <c r="I30" s="37" t="n">
        <v>0.86</v>
      </c>
      <c r="J30" s="38">
        <f>IF(AND(ISNUMBER(H30),ISNUMBER(I30)),H30-I30,"")</f>
        <v/>
      </c>
      <c r="K30" s="34"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c r="Q30" s="21" t="n"/>
      <c r="R30" s="21" t="n"/>
      <c r="S30" s="33" t="inlineStr">
        <is>
          <t>1</t>
        </is>
      </c>
    </row>
    <row r="31" ht="15" customHeight="1" s="22">
      <c r="A31" s="33" t="n">
        <v>3</v>
      </c>
      <c r="B31" s="33" t="n">
        <v>9</v>
      </c>
      <c r="C31" s="33" t="inlineStr">
        <is>
          <t>P3-Score</t>
        </is>
      </c>
      <c r="D31" s="33" t="n"/>
      <c r="E31" s="33" t="inlineStr">
        <is>
          <t>Licencia de X-Score</t>
        </is>
      </c>
      <c r="F31" s="34" t="n"/>
      <c r="G31" s="34" t="n"/>
      <c r="H31" s="37" t="n"/>
      <c r="I31" s="37" t="n"/>
      <c r="J31" s="38">
        <f>IF(AND(ISNUMBER(H31),ISNUMBER(I31)),H31-I31,"")</f>
        <v/>
      </c>
      <c r="K31" s="34" t="inlineStr">
        <is>
          <t>22/10/2026: solo P3-Score_predict.py; necesita X-Score (licencia)</t>
        </is>
      </c>
      <c r="Q31" s="21" t="n"/>
      <c r="R31" s="21" t="n"/>
      <c r="S31" s="33" t="inlineStr">
        <is>
          <t>1</t>
        </is>
      </c>
    </row>
    <row r="32" ht="15" customHeight="1" s="22">
      <c r="A32" s="39" t="n">
        <v>1</v>
      </c>
      <c r="B32" s="39" t="n">
        <v>12</v>
      </c>
      <c r="C32" s="39" t="inlineStr">
        <is>
          <t>DeepRLI</t>
        </is>
      </c>
      <c r="D32" s="33" t="inlineStr">
        <is>
          <t>trained_model.state_dict.pth (GitHub release v1.0.2, 2.4 MB, MD5 334ada64…0f29; mismo archivo en v1.0.0–v1.0.2)</t>
        </is>
      </c>
      <c r="E32" s="33" t="inlineStr">
        <is>
          <t>Windows: PyTorch 2.2.2 + DGL 2.2.1 + RDKit 2023.9.6 (Python 3.10). Docker: PyTorch 2.3.1 CPU + DGL 2.2.1 conda-forge</t>
        </is>
      </c>
      <c r="F32" s="34" t="inlineStr">
        <is>
          <t>Sí</t>
        </is>
      </c>
      <c r="G32" s="34" t="inlineStr">
        <is>
          <t>Sí</t>
        </is>
      </c>
      <c r="H32" s="37" t="n"/>
      <c r="I32" s="37" t="n"/>
      <c r="J32" s="38">
        <f>IF(AND(ISNUMBER(H32),ISNUMBER(I32)),H32-I32,"")</f>
        <v/>
      </c>
      <c r="K32" s="34" t="inlineStr">
        <is>
          <t>23/10/2026: LISTA 2. Repo github.com/fairydance/DeepRLI (documentado, ejecutado en la revisión). Usa la estructura del complejo (proteína .pdb + ligando .sdf/.mol2) → sirve para 1a30 y CASF-2016. Modelo entrenado publicado; preprocess.py + infer.heavy.py. Pendiente: confirmar que corre en CPU (environment.yml trae CUDA 11.8) y el PCC de scoring power en CASF-2016 del artículo (Digital Discovery 2025, doi 10.1039/d4dd00403e). | 23/10/2026: test 1a30 PASS en la PC del lab con Windows conda y con Docker, idénticos: ΔG −5.7279 kcal/mol → pKd 4.1986 (exp. 4.30); valor propio fijado como REF_PKD. El .sdf de 1a30 falla en RDKit (valencia) y se usa el .mol2. El scoring head predice ΔG → pKd = −ΔG/1.3643. Commit fijado 9d6e739. Plugin: plugins/deeprli</t>
        </is>
      </c>
      <c r="L32" s="21" t="inlineStr">
        <is>
          <t>deeprli</t>
        </is>
      </c>
      <c r="M32" s="21" t="inlineStr">
        <is>
          <t>demo_deeprli.bat</t>
        </is>
      </c>
      <c r="N32" s="21" t="inlineStr">
        <is>
          <t>combilab/deeprli:1.0</t>
        </is>
      </c>
      <c r="O32" s="21" t="inlineStr">
        <is>
          <t>docker_deeprli.bat</t>
        </is>
      </c>
      <c r="P32" s="21" t="inlineStr">
        <is>
          <t>docker_deeprli.sh</t>
        </is>
      </c>
      <c r="Q32" s="21" t="inlineStr">
        <is>
          <t>PASS</t>
        </is>
      </c>
      <c r="R32" s="21" t="inlineStr">
        <is>
          <t>PASS</t>
        </is>
      </c>
      <c r="S32" s="39" t="inlineStr">
        <is>
          <t>2</t>
        </is>
      </c>
    </row>
    <row r="33" ht="15" customHeight="1" s="22">
      <c r="A33" s="39" t="n">
        <v>2</v>
      </c>
      <c r="B33" s="39" t="n">
        <v>8</v>
      </c>
      <c r="C33" s="39" t="inlineStr">
        <is>
          <t>MMPD-DTA</t>
        </is>
      </c>
      <c r="D33" s="33" t="inlineStr">
        <is>
          <t>result/best/best_model.pt en el repo (4 MB, MD5 366d95cc…ce39) + test2016.pt de los autores (data.zip)</t>
        </is>
      </c>
      <c r="E33" s="33" t="inlineStr">
        <is>
          <t>PyTorch 2.2.2 + PyG 2.5.3 + RDKit 2023.09.6 (Python 3.10); Docker: PyTorch 2.3.1 CPU</t>
        </is>
      </c>
      <c r="F33" s="34" t="inlineStr">
        <is>
          <t>Sí</t>
        </is>
      </c>
      <c r="G33" s="34" t="inlineStr">
        <is>
          <t>Sí</t>
        </is>
      </c>
      <c r="H33" s="37" t="n"/>
      <c r="I33" s="37" t="n">
        <v>0.85</v>
      </c>
      <c r="J33" s="38">
        <f>IF(AND(ISNUMBER(H33),ISNUMBER(I33)),H33-I33,"")</f>
        <v/>
      </c>
      <c r="K33" s="34" t="inlineStr">
        <is>
          <t>23/10/2026: LISTA 2, SELECCIONADA en la revisión. Repo github.com/zhc-moushang/MMPD-DTA. Entradas: FASTA de la proteína + grafo del bolsillo + grafo del ligando (RDKit). PCC reportado 0.850 = CORR de test2016 en result/best/result.txt del repo. Nivel 2: como GraphscoreDTA, solo publica el set de test ya armado; no publica el script que arma los grafos de un complejo nuevo (probar el create_data.py borrado del repo DeepTGIN, mismos autores). Verificar si 1a30 está en test2016.pt. | 23/10/2026: plugin plugins/mmpd_dta listo (commit 6992636). Armado de entradas reconstruido: featurizador de create_data.py de DeepTGIN (mismo grupo, recuperado del historial git) + reglas leídas del test2016.pt de los autores (bolsillo sin aguas + ligando; aristas covalentes + bolsillo→ligando a &lt; 6.0 Å; secuencia completa de los ATOM). Para 1a30 las entradas reconstruidas son IDÉNTICAS bit a bit a las de los autores (383/26 nodos, 1367/50 aristas, 198 residuos). Test 1a30 PASS en la PC del lab con Windows conda y con Docker, idénticos: pKd 5.3879 (exp. 4.30), igual con las entradas reconstruidas y con las de los autores; valor propio fijado como REF_PKD.</t>
        </is>
      </c>
      <c r="L33" s="21" t="inlineStr">
        <is>
          <t>mmpd_dta</t>
        </is>
      </c>
      <c r="M33" s="21" t="inlineStr">
        <is>
          <t>demo_mmpd_dta.bat</t>
        </is>
      </c>
      <c r="N33" s="21" t="inlineStr">
        <is>
          <t>combilab/mmpd_dta:1.0</t>
        </is>
      </c>
      <c r="O33" s="21" t="inlineStr">
        <is>
          <t>docker_mmpd_dta.bat</t>
        </is>
      </c>
      <c r="P33" s="21" t="inlineStr">
        <is>
          <t>docker_mmpd_dta.sh</t>
        </is>
      </c>
      <c r="Q33" s="21" t="inlineStr">
        <is>
          <t>PASS</t>
        </is>
      </c>
      <c r="R33" s="21" t="inlineStr">
        <is>
          <t>PASS</t>
        </is>
      </c>
      <c r="S33" s="39" t="inlineStr">
        <is>
          <t>2</t>
        </is>
      </c>
    </row>
    <row r="34" ht="15" customHeight="1" s="22">
      <c r="A34" s="39" t="n">
        <v>2</v>
      </c>
      <c r="B34" s="39" t="n">
        <v>9</v>
      </c>
      <c r="C34" s="39" t="inlineStr">
        <is>
          <t>T-ALPHA</t>
        </is>
      </c>
      <c r="D34" s="33" t="inlineStr">
        <is>
          <t>model_parameters/CASF.ckpt (Zenodo 14510963, MD5 704f963c…) + test_files/CASF_crystal.h5 con las features de CASF-2016 ya calculadas (MD5 b853bbf8…)</t>
        </is>
      </c>
      <c r="E34" s="33" t="inlineStr">
        <is>
          <t>PyTorch 2.5.1 CPU + PyG 2.6.1 + torch_cluster + Lightning 2.4 + pykeops 2.2.3 (compila C++, solo Linux/WSL/Docker) (Python 3.11)</t>
        </is>
      </c>
      <c r="F34" s="34" t="inlineStr">
        <is>
          <t>Sí</t>
        </is>
      </c>
      <c r="G34" s="34" t="inlineStr">
        <is>
          <t>Sí</t>
        </is>
      </c>
      <c r="H34" s="37" t="n"/>
      <c r="I34" s="37" t="n">
        <v>0.869</v>
      </c>
      <c r="J34" s="38">
        <f>IF(AND(ISNUMBER(H34),ISNUMBER(I34)),H34-I34,"")</f>
        <v/>
      </c>
      <c r="K34" s="34" t="inlineStr">
        <is>
          <t>23/10/2026: LISTA 2. Repo github.com/gregory-kyro/T-ALPHA (documentado, ejecutado en la revisión). Modelo y test CASF-2016 publicados en Zenodo; scripts/inference.py. Nivel 2 por descargas grandes y modelos de lenguaje preentrenados para armar las features (pesado en CPU). Pendiente: PCC CASF-2016 del artículo (JCIM 2025, doi 10.1021/acs.jcim.4c02332). | 25/10/2026: test 1a30 PASS en Linux (pip y conda-forge): 1a30 solo 5.7758, en el lote de 32 de los autores 5.7024 (exp. 4.30). Con CASF_crystal.h5 completo y lotes de 32 se reproduce el artículo: PCC 0.869, RMSE 1.112, MAE 0.875, Spearman 0.860. Usa las features de los autores (no los PDB/mol2): armarlas desde cero requiere ESM2-3B (~11 GB RAM) y el transformer de SMILES; no incluido. CASF_crystal.h5: 289 complejos = 283 del core set (faltan 1g2k y 1sqa) + 6 extra. Las predicciones cambian levemente según el lote. Para CPU: torch.cuda.synchronize sin efecto y EGNN en "cpu" (en el wrapper, sin tocar el código de los autores). pykeops no corre en Windows: usar Docker. | 25/10/2026: test Docker 1a30 PASS en la PC del laboratorio (Windows + Docker Desktop): 5.7758 / 5.7024, idénticos a Linux.</t>
        </is>
      </c>
      <c r="L34" s="21" t="inlineStr">
        <is>
          <t>t_alpha</t>
        </is>
      </c>
      <c r="M34" s="21" t="inlineStr">
        <is>
          <t>no (solo Linux) → demo_t_alpha.bat usa Docker</t>
        </is>
      </c>
      <c r="N34" s="21" t="inlineStr">
        <is>
          <t>combilab/t_alpha:1.0</t>
        </is>
      </c>
      <c r="O34" s="21" t="inlineStr">
        <is>
          <t>docker_t_alpha.bat</t>
        </is>
      </c>
      <c r="P34" s="21" t="inlineStr">
        <is>
          <t>docker_t_alpha.sh</t>
        </is>
      </c>
      <c r="Q34" s="21" t="inlineStr">
        <is>
          <t>PASS</t>
        </is>
      </c>
      <c r="R34" s="21" t="inlineStr">
        <is>
          <t>—</t>
        </is>
      </c>
      <c r="S34" s="39" t="inlineStr">
        <is>
          <t>2</t>
        </is>
      </c>
    </row>
    <row r="35" ht="15" customHeight="1" s="22">
      <c r="A35" s="39" t="n">
        <v>2</v>
      </c>
      <c r="B35" s="39" t="n">
        <v>10</v>
      </c>
      <c r="C35" s="39" t="inlineStr">
        <is>
          <t>DTITR</t>
        </is>
      </c>
      <c r="D35" s="33" t="inlineStr">
        <is>
          <t>model/dtitr_model/ en el repo (checkpoint TF, 54 MB; MD5 69c9aca0…, a30a97cc…)</t>
        </is>
      </c>
      <c r="E35" s="33" t="inlineStr">
        <is>
          <t>TensorFlow 2.6 (Python 3.9) + subword_nmt; solo secuencia + SMILES</t>
        </is>
      </c>
      <c r="F35" s="34" t="inlineStr">
        <is>
          <t>Sí</t>
        </is>
      </c>
      <c r="G35" s="34" t="inlineStr">
        <is>
          <t>Sí</t>
        </is>
      </c>
      <c r="H35" s="37" t="n"/>
      <c r="I35" s="37" t="n"/>
      <c r="J35" s="38">
        <f>IF(AND(ISNUMBER(H35),ISNUMBER(I35)),H35-I35,"")</f>
        <v/>
      </c>
      <c r="K35" s="34" t="inlineStr">
        <is>
          <t>23/10/2026: LISTA 2. Repo github.com/larngroup/DTITR (documentado, no ejecutado en la revisión). OJO: el modelo publicado está entrenado solo con Davis (quinasas, Kd); en CASF-2016 sería fuera de dominio. No usa la estructura 3D. Evaluar si vale la pena incluirla. | 25/10/2026: test 1a30 PASS en la PC del laboratorio (Windows conda y Docker): pKd 5.0047, Davis 5 pares idénticos, codificación idéntica a la de los autores. Entrenado solo con quinasas de Davis: en CASF-2016 se esperan muchos valores ~5.0 (fuera de dominio).</t>
        </is>
      </c>
      <c r="L35" s="21" t="inlineStr">
        <is>
          <t>dtitr</t>
        </is>
      </c>
      <c r="M35" s="21" t="inlineStr">
        <is>
          <t>demo_dtitr.bat</t>
        </is>
      </c>
      <c r="N35" s="21" t="inlineStr">
        <is>
          <t>combilab/dtitr:1.0</t>
        </is>
      </c>
      <c r="O35" s="21" t="inlineStr">
        <is>
          <t>docker_dtitr.bat</t>
        </is>
      </c>
      <c r="P35" s="21" t="inlineStr">
        <is>
          <t>docker_dtitr.sh</t>
        </is>
      </c>
      <c r="Q35" s="21" t="inlineStr">
        <is>
          <t>PASS</t>
        </is>
      </c>
      <c r="R35" s="21" t="inlineStr">
        <is>
          <t>PASS</t>
        </is>
      </c>
      <c r="S35" s="39" t="inlineStr">
        <is>
          <t>2</t>
        </is>
      </c>
    </row>
    <row r="36" ht="15" customHeight="1" s="22">
      <c r="A36" s="39" t="n">
        <v>3</v>
      </c>
      <c r="B36" s="39" t="n">
        <v>10</v>
      </c>
      <c r="C36" s="39" t="inlineStr">
        <is>
          <t>DTA-GTOmega</t>
        </is>
      </c>
      <c r="D36" s="33" t="inlineStr">
        <is>
          <t>saved_pth/Davis_repr en el repo (33 modelos, Davis: quinasas) + BindingDB_repr.zip en Google Drive; NO hay modelo entrenado con PDBbind</t>
        </is>
      </c>
      <c r="E36" s="33" t="inlineStr">
        <is>
          <t>OmegaFold (pesos release1.pt, ~3 GB, helixon.s3.amazonaws.com) para embeddings de nodos/aristas de la proteína + mapa de contactos; PyTorch + DGL/PyG + RDKit</t>
        </is>
      </c>
      <c r="F36" s="34" t="inlineStr">
        <is>
          <t>No</t>
        </is>
      </c>
      <c r="G36" s="34" t="inlineStr">
        <is>
          <t>No</t>
        </is>
      </c>
      <c r="H36" s="37" t="n"/>
      <c r="I36" s="37" t="n"/>
      <c r="J36" s="38">
        <f>IF(AND(ISNUMBER(H36),ISNUMBER(I36)),H36-I36,"")</f>
        <v/>
      </c>
      <c r="K36" s="34" t="inlineStr">
        <is>
          <t>26/10/2026: Repo encontrado: github.com/ljquanlab/DTA-GTOmega (commit 25f42d71) + generador de features github.com/yelujiang/OmegaFeatures. Igual que DTITR: modelos entrenados en Davis (quinasas) y BindingDB, sin estructura del complejo (FASTA + SMILES). BLOQUEADO: los pesos de OmegaFold (helixon.s3.amazonaws.com) no se pueden descargar ni desde la nube ni desde la PC (dominio fuera de la lista permitida). Con ese archivo se puede armar el test 1a30 (proteína de 99 aa, OmegaFold en CPU).</t>
        </is>
      </c>
      <c r="Q36" s="21" t="inlineStr">
        <is>
          <t>Pendiente</t>
        </is>
      </c>
      <c r="R36" s="21" t="inlineStr">
        <is>
          <t>Pendiente</t>
        </is>
      </c>
      <c r="S36" s="39" t="inlineStr">
        <is>
          <t>2</t>
        </is>
      </c>
    </row>
    <row r="37" ht="15" customHeight="1" s="22">
      <c r="A37" s="39" t="inlineStr">
        <is>
          <t>Desc.</t>
        </is>
      </c>
      <c r="B37" s="39" t="n">
        <v>11</v>
      </c>
      <c r="C37" s="39" t="inlineStr">
        <is>
          <t>PLiSAGE</t>
        </is>
      </c>
      <c r="D37" s="33" t="inlineStr">
        <is>
          <t>Solo pre_check/checkpoint.pth.tar: encoders de proteína pre-entrenados (estructura GVP + superficie MAE); sin rama del ligando ni cabeza de afinidad</t>
        </is>
      </c>
      <c r="E37" s="33" t="inlineStr">
        <is>
          <t>PyTorch + extensiones CUDA (chamfer, EMD, pointnet2_ops); GPU de 16 GB recomendada</t>
        </is>
      </c>
      <c r="F37" s="34" t="inlineStr">
        <is>
          <t>No</t>
        </is>
      </c>
      <c r="G37" s="34" t="inlineStr">
        <is>
          <t>No</t>
        </is>
      </c>
      <c r="H37" s="37" t="n"/>
      <c r="I37" s="37" t="n"/>
      <c r="J37" s="38">
        <f>IF(AND(ISNUMBER(H37),ISNUMBER(I37)),H37-I37,"")</f>
        <v/>
      </c>
      <c r="K37" s="34" t="inlineStr">
        <is>
          <t>26/10/2026: Repo: github.com/PullRequestPanda/PLiSAGE (commit f1e6ada9; antes catly/PLiSAGE). DESCARTADA para inferencia: el checkpoint publicado es solo el pre-entrenamiento de la proteína (claves protein_struct_encoder y protein_surface_encoder); para afinidad hay que hacer el fine-tuning en PDBbind (pli_train.py), o sea reentrenar.</t>
        </is>
      </c>
      <c r="Q37" s="21" t="inlineStr">
        <is>
          <t>No aplica</t>
        </is>
      </c>
      <c r="R37" s="21" t="inlineStr">
        <is>
          <t>No aplica</t>
        </is>
      </c>
      <c r="S37" s="39" t="inlineStr">
        <is>
          <t>2</t>
        </is>
      </c>
    </row>
    <row r="38" ht="15" customHeight="1" s="22">
      <c r="A38" s="39" t="inlineStr">
        <is>
          <t>Desc.</t>
        </is>
      </c>
      <c r="B38" s="39" t="n">
        <v>12</v>
      </c>
      <c r="C38" s="39" t="inlineStr">
        <is>
          <t>TransScore</t>
        </is>
      </c>
      <c r="D38" s="33" t="inlineStr">
        <is>
          <t>No publicado</t>
        </is>
      </c>
      <c r="E38" s="33" t="inlineStr">
        <is>
          <t>—</t>
        </is>
      </c>
      <c r="F38" s="34" t="inlineStr">
        <is>
          <t>No</t>
        </is>
      </c>
      <c r="G38" s="34" t="inlineStr">
        <is>
          <t>No</t>
        </is>
      </c>
      <c r="H38" s="37" t="n"/>
      <c r="I38" s="37" t="n"/>
      <c r="J38" s="38">
        <f>IF(AND(ISNUMBER(H38),ISNUMBER(I38)),H38-I38,"")</f>
        <v/>
      </c>
      <c r="K38" s="34" t="inlineStr">
        <is>
          <t>26/10/2026: Repo: github.com/CSUBioGroup/TransScore (commit 0320737b). DESCARTADA: el repositorio solo tiene README, CSV de etiquetas y features de entrenamiento (dataset/refined_set_affinity/feature.npz); no hay código (train.py, args.py no están) ni modelo entrenado.</t>
        </is>
      </c>
      <c r="Q38" s="21" t="inlineStr">
        <is>
          <t>No aplica</t>
        </is>
      </c>
      <c r="R38" s="21" t="inlineStr">
        <is>
          <t>No aplica</t>
        </is>
      </c>
      <c r="S38" s="39" t="inlineStr">
        <is>
          <t>2</t>
        </is>
      </c>
    </row>
    <row r="39" ht="15" customHeight="1" s="22">
      <c r="A39" s="39" t="inlineStr">
        <is>
          <t>Desc.</t>
        </is>
      </c>
      <c r="B39" s="39" t="n">
        <v>13</v>
      </c>
      <c r="C39" s="39" t="inlineStr">
        <is>
          <t>SST</t>
        </is>
      </c>
      <c r="D39" s="33" t="inlineStr">
        <is>
          <t>Zenodo 10795400 (HPC_SurrogateDatasets.zip, 914 MB): un modelo por receptor de SARS-CoV-2 (18)</t>
        </is>
      </c>
      <c r="E39" s="33" t="inlineStr">
        <is>
          <t>—</t>
        </is>
      </c>
      <c r="F39" s="34" t="inlineStr">
        <is>
          <t>No</t>
        </is>
      </c>
      <c r="G39" s="34" t="inlineStr">
        <is>
          <t>No</t>
        </is>
      </c>
      <c r="H39" s="37" t="n"/>
      <c r="I39" s="37" t="n"/>
      <c r="J39" s="38">
        <f>IF(AND(ISNUMBER(H39),ISNUMBER(I39)),H39-I39,"")</f>
        <v/>
      </c>
      <c r="K39" s="34" t="inlineStr">
        <is>
          <t>26/10/2026: Identificado: SST = Simple SMILES Transformer (Vasan et al., Argonne, "High performance binding affinity prediction with a Transformer-based surrogate model", 2024). NO APLICA a CASF-2016: solo usa el SMILES del ligando y predice el puntaje de docking contra 18 receptores fijos de SARS-CoV-2; no tiene entrada de proteína ni modelo general de afinidad.</t>
        </is>
      </c>
      <c r="Q39" s="21" t="inlineStr">
        <is>
          <t>No aplica</t>
        </is>
      </c>
      <c r="R39" s="21" t="inlineStr">
        <is>
          <t>No aplica</t>
        </is>
      </c>
      <c r="S39" s="39" t="inlineStr">
        <is>
          <t>2</t>
        </is>
      </c>
    </row>
    <row r="40" ht="15" customHeight="1" s="22">
      <c r="A40" s="39" t="n">
        <v>3</v>
      </c>
      <c r="B40" s="39" t="n">
        <v>14</v>
      </c>
      <c r="C40" s="39" t="inlineStr">
        <is>
          <t>DBGT-PLA</t>
        </is>
      </c>
      <c r="D40" s="33" t="inlineStr">
        <is>
          <t>models/model_GFormer_best_73_1767011167.ckpt en el repo</t>
        </is>
      </c>
      <c r="E40" s="33" t="inlineStr">
        <is>
          <t>PyTorch + PyG (torch_sparse) + NetworkX; grafos de interacción IChem de Mastropietro et al. (pdbbind.tgz, bioinfo-pharma.u-strasbg.fr)</t>
        </is>
      </c>
      <c r="F40" s="34" t="inlineStr">
        <is>
          <t>No</t>
        </is>
      </c>
      <c r="G40" s="34" t="inlineStr">
        <is>
          <t>No</t>
        </is>
      </c>
      <c r="H40" s="37" t="n"/>
      <c r="I40" s="37" t="n"/>
      <c r="J40" s="38">
        <f>IF(AND(ISNUMBER(H40),ISNUMBER(I40)),H40-I40,"")</f>
        <v/>
      </c>
      <c r="K40" s="34" t="inlineStr">
        <is>
          <t>26/10/2026: Repo: github.com/wangwying/DBGT-PLA (commit 76d8a9c8), derivado de AndMastro/protein-ligand-GNN (Nat. Mach. Intell. 2023). El modelo usa grafos de interacción proteína–ligando ya calculados con IChem (8 tipos de nodo) que vienen en pdbbind.tgz del laboratorio Rognan; IChem no es público, así que solo se pueden puntuar los complejos de ese archivo. Además el MinMaxScaler de las aristas se ajusta sobre todos los grafos del dataset y el entrenamiento descarta pKd fuera de 5–11 (1a30 = 4.30 queda fuera del rango). BLOQUEADO: el dominio bioinfo-pharma.u-strasbg.fr no es accesible desde la nube ni desde la PC.</t>
        </is>
      </c>
      <c r="Q40" s="21" t="inlineStr">
        <is>
          <t>Pendiente</t>
        </is>
      </c>
      <c r="R40" s="21" t="inlineStr">
        <is>
          <t>Pendiente</t>
        </is>
      </c>
      <c r="S40" s="39" t="inlineStr">
        <is>
          <t>2</t>
        </is>
      </c>
    </row>
    <row r="41" ht="15" customHeight="1" s="22">
      <c r="A41" s="39" t="inlineStr">
        <is>
          <t>Desc.</t>
        </is>
      </c>
      <c r="B41" s="39" t="n">
        <v>15</v>
      </c>
      <c r="C41" s="39" t="inlineStr">
        <is>
          <t>GITK</t>
        </is>
      </c>
      <c r="D41" s="33" t="inlineStr">
        <is>
          <t>No publicado (main.py tiene --trained_model_path pero no hay pesos)</t>
        </is>
      </c>
      <c r="E41" s="33" t="inlineStr">
        <is>
          <t>PyTorch + PyG + GRIT (basado en PSICHIC)</t>
        </is>
      </c>
      <c r="F41" s="34" t="inlineStr">
        <is>
          <t>No</t>
        </is>
      </c>
      <c r="G41" s="34" t="inlineStr">
        <is>
          <t>No</t>
        </is>
      </c>
      <c r="H41" s="37" t="n"/>
      <c r="I41" s="37" t="n"/>
      <c r="J41" s="38">
        <f>IF(AND(ISNUMBER(H41),ISNUMBER(I41)),H41-I41,"")</f>
        <v/>
      </c>
      <c r="K41" s="34" t="inlineStr">
        <is>
          <t>26/10/2026: Repo: github.com/Listen-lei/GITK (commit c3bc711f). DESCARTADA para inferencia: no hay modelo entrenado; la carpeta de Google Drive enlazada es la de datasets de PSICHIC (sin pesos de GITK). Además predice huellas de interacción y afinidad desde secuencia; se puede usar solo reentrenando.</t>
        </is>
      </c>
      <c r="Q41" s="21" t="inlineStr">
        <is>
          <t>No aplica</t>
        </is>
      </c>
      <c r="R41" s="21" t="inlineStr">
        <is>
          <t>No aplica</t>
        </is>
      </c>
      <c r="S41" s="39" t="inlineStr">
        <is>
          <t>2</t>
        </is>
      </c>
    </row>
    <row r="42" ht="15" customHeight="1" s="22">
      <c r="A42" s="39" t="inlineStr">
        <is>
          <t>Desc.</t>
        </is>
      </c>
      <c r="B42" s="39" t="n"/>
      <c r="C42" s="39" t="inlineStr">
        <is>
          <t>DeepTGIN</t>
        </is>
      </c>
      <c r="D42" s="33" t="inlineStr">
        <is>
          <t>No publicado (main.py carga best_model.pt pero nunca se subió)</t>
        </is>
      </c>
      <c r="E42" s="33" t="inlineStr">
        <is>
          <t>PyTorch 1.9 + PyG 2.0.1 + RDKit + Biopython (Python 3.8)</t>
        </is>
      </c>
      <c r="F42" s="34" t="inlineStr">
        <is>
          <t>No</t>
        </is>
      </c>
      <c r="G42" s="34" t="inlineStr">
        <is>
          <t>No</t>
        </is>
      </c>
      <c r="H42" s="37" t="n"/>
      <c r="I42" s="37" t="n">
        <v>0.834</v>
      </c>
      <c r="J42" s="38">
        <f>IF(AND(ISNUMBER(H42),ISNUMBER(I42)),H42-I42,"")</f>
        <v/>
      </c>
      <c r="K42" s="34" t="inlineStr">
        <is>
          <t>23/10/2026: LISTA 1 y 2, SELECCIONADA en la revisión. Repo github.com/zhc-moushang/DeepTGIN. DESCARTADA para inferencia: el repo no tiene modelo entrenado (revisado el historial completo de git); trae los datos preprocesados (train/val/test2016/test2013.pt) y create_data.py quedó en el historial (borrado el 24/01/2025). Solo se puede usar reentrenando. PCC reportado 0.834 = PDBbind2016 test set (Tabla 2 del artículo, J. Cheminform. 2024).</t>
        </is>
      </c>
      <c r="Q42" s="21" t="inlineStr">
        <is>
          <t>No aplica</t>
        </is>
      </c>
      <c r="R42" s="21" t="inlineStr">
        <is>
          <t>No aplica</t>
        </is>
      </c>
      <c r="S42" s="39" t="inlineStr">
        <is>
          <t>1 y 2</t>
        </is>
      </c>
    </row>
    <row r="43" ht="15" customHeight="1" s="22">
      <c r="Q43" s="21" t="n"/>
      <c r="R43" s="21" t="n"/>
    </row>
    <row r="44" ht="15" customHeight="1" s="22">
      <c r="A44" s="40" t="inlineStr">
        <is>
          <t>Descartadas (sin modelo entrenado): ECIF, MSECIF, Dowker, PerSpect ML, PPS-ML, EISA-Score, GGL-Score, MP-GNN, LGN, FGNN, MFE, MM-DRPNet, DeepTGIN (también Lista 2, ver fila), HaPPy, IMCPiDB-Score, GIaNt, CurvAGN, GCNN01, SMPLIP-Score, aescore, CPIScore (modelo incompleto, ver nota).</t>
        </is>
      </c>
      <c r="Q44" s="21" t="n"/>
      <c r="R44" s="21" t="n"/>
    </row>
    <row r="45" ht="15" customHeight="1" s="22">
      <c r="A45" s="40" t="inlineStr">
        <is>
          <t>Lista 2 – descartadas: sin repositorio público (12): AffinityLM, BTDHDTA, ETransDTA, FFT-DTBA, GSDeep-DTA, GTAMP-DTA, HGTDP-DTA, MambaTransDTA, MF-CNN, PLBA-FE-DL, TransMLP-DTBA, TransVAE-DTA. Con repo pero sin modelo entrenado: MRBDTA (github.com/LiZhang30/MRBDTA, solo Davis/KIBA, secuencia + SMILES). Fuente: Apresentação.pdf (revisión sistemática de Transformers, diap. 22–23).</t>
        </is>
      </c>
      <c r="Q45" s="21" t="n"/>
      <c r="R45" s="21" t="n"/>
    </row>
    <row r="46" ht="15" customHeight="1" s="22">
      <c r="A46" s="40" t="inlineStr">
        <is>
          <t>Filas con Nivel/#/SF en verde = Lista 2. Nivel asignado el 23/10/2026 según los criterios del proyecto (1: CPU y modelo listo; 2: pasos extra; 3: pesado o por verificar).</t>
        </is>
      </c>
      <c r="Q46" s="21" t="n"/>
      <c r="R46" s="21" t="n"/>
    </row>
    <row r="47" ht="15" customHeight="1" s="22">
      <c r="Q47" s="21" t="n"/>
      <c r="R47" s="21" t="n"/>
    </row>
    <row r="48" ht="15" customHeight="1" s="22">
      <c r="Q48" s="21" t="n"/>
      <c r="R48" s="21" t="n"/>
    </row>
    <row r="49" ht="15" customHeight="1" s="22">
      <c r="Q49" s="21" t="n"/>
      <c r="R49" s="21" t="n"/>
    </row>
    <row r="50" ht="15" customHeight="1" s="22">
      <c r="Q50" s="21" t="n"/>
      <c r="R50" s="21" t="n"/>
    </row>
    <row r="51" ht="15" customHeight="1" s="22">
      <c r="Q51" s="21" t="n"/>
      <c r="R51" s="21" t="n"/>
    </row>
    <row r="52" ht="15" customHeight="1" s="22">
      <c r="Q52" s="21" t="n"/>
      <c r="R52" s="21" t="n"/>
    </row>
    <row r="53" ht="15" customHeight="1" s="22">
      <c r="Q53" s="21" t="n"/>
      <c r="R53" s="21" t="n"/>
    </row>
    <row r="54" ht="15" customHeight="1" s="22">
      <c r="Q54" s="21" t="n"/>
      <c r="R54" s="21" t="n"/>
    </row>
    <row r="55" ht="15" customHeight="1" s="22">
      <c r="Q55" s="21" t="n"/>
      <c r="R55" s="21" t="n"/>
    </row>
    <row r="56" ht="15" customHeight="1" s="22">
      <c r="Q56" s="21" t="n"/>
      <c r="R56" s="21" t="n"/>
    </row>
    <row r="57" ht="15" customHeight="1" s="22">
      <c r="Q57" s="21" t="n"/>
      <c r="R57" s="21" t="n"/>
    </row>
    <row r="58" ht="15" customHeight="1" s="22">
      <c r="Q58" s="21" t="n"/>
      <c r="R58" s="21" t="n"/>
    </row>
    <row r="59" ht="15" customHeight="1" s="22">
      <c r="Q59" s="21" t="n"/>
      <c r="R59" s="21" t="n"/>
    </row>
    <row r="60" ht="15" customHeight="1" s="22">
      <c r="Q60" s="21" t="n"/>
      <c r="R60" s="21" t="n"/>
    </row>
  </sheetData>
  <autoFilter ref="A4:S42"/>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60" showDropDown="0" showInputMessage="0" showErrorMessage="0" allowBlank="1" type="list" errorStyle="stop" operator="between">
      <formula1>"Sí,No,Parcial"</formula1>
      <formula2>0</formula2>
    </dataValidation>
    <dataValidation sqref="Q5:R60" showDropDown="0" showInputMessage="0" showErrorMessage="0" allowBlank="1" type="list" errorStyle="stop" operator="between">
      <formula1>"Pendiente,PASS,FAIL,No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2026-10-26T12:24:24Z</dcterms:modified>
  <cp:revision>0</cp:revision>
</cp:coreProperties>
</file>