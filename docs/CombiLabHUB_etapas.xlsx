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SF'!$A$4:$S$42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yyyy\-mm\-dd\ h:mm:ss"/>
    <numFmt numFmtId="166" formatCode="0.0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sz val="9"/>
    </font>
    <font>
      <name val="Arial"/>
      <charset val="1"/>
      <family val="0"/>
      <i val="1"/>
      <color rgb="FF595959"/>
      <sz val="11"/>
    </font>
    <font>
      <name val="Arial"/>
      <family val="2"/>
      <sz val="10"/>
    </font>
  </fonts>
  <fills count="5">
    <fill>
      <patternFill/>
    </fill>
    <fill>
      <patternFill patternType="gray125"/>
    </fill>
    <fill>
      <patternFill patternType="solid">
        <fgColor rgb="FF1F4E78"/>
        <bgColor rgb="FF003366"/>
      </patternFill>
    </fill>
    <fill>
      <patternFill patternType="solid">
        <fgColor rgb="FFFFF2CC"/>
        <bgColor rgb="FFF2F2F2"/>
      </patternFill>
    </fill>
    <fill>
      <patternFill patternType="solid">
        <fgColor rgb="FFE2EFDA"/>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6" fillId="4"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
      <fill>
        <patternFill patternType="solid">
          <fgColor rgb="FFE2EFDA"/>
          <bgColor rgb="FF000000"/>
        </patternFill>
      </fill>
    </dxf>
    <dxf>
      <fill>
        <patternFill patternType="solid">
          <fgColor rgb="FFFFC7CE"/>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Unknown Author</author>
  </authors>
  <commentList>
    <comment ref="S4" authorId="0" shapeId="0">
      <text>
        <t>Lista 1 = SF relevadas antes (Eaves et al. 2026 + Su et al. 2019). Lista 2 = SF nuevas de Apresentação.pdf (revisión sistemática de Transformers, diap. 22–23). "1 y 2" = aparece en ambas.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F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21" min="1" max="1"/>
    <col width="10" customWidth="1" style="21" min="2" max="2"/>
    <col width="13" customWidth="1" style="21" min="3" max="4"/>
    <col width="12" customWidth="1" style="21" min="5" max="5"/>
    <col width="11" customWidth="1" style="21" min="6" max="6"/>
  </cols>
  <sheetData>
    <row r="1" ht="17.25" customHeight="1" s="22">
      <c r="A1" s="23" t="inlineStr">
        <is>
          <t>CombiLabHUB – Resumen de avance</t>
        </is>
      </c>
    </row>
    <row r="3" ht="26.25" customHeight="1" s="22">
      <c r="A3" s="24" t="inlineStr">
        <is>
          <t>Etapa</t>
        </is>
      </c>
      <c r="B3" s="24" t="inlineStr">
        <is>
          <t>Tareas</t>
        </is>
      </c>
      <c r="C3" s="24" t="inlineStr">
        <is>
          <t>Completadas</t>
        </is>
      </c>
      <c r="D3" s="24" t="inlineStr">
        <is>
          <t>En progreso</t>
        </is>
      </c>
      <c r="E3" s="24" t="inlineStr">
        <is>
          <t>Pendientes</t>
        </is>
      </c>
      <c r="F3" s="24" t="inlineStr">
        <is>
          <t>% avance</t>
        </is>
      </c>
    </row>
    <row r="4" ht="15" customHeight="1" s="22">
      <c r="A4" s="25" t="inlineStr">
        <is>
          <t>0. Preparación del entorno</t>
        </is>
      </c>
      <c r="B4" s="25">
        <f>COUNTIF(Etapas!$B$5:$B$60,A4)</f>
        <v/>
      </c>
      <c r="C4" s="25">
        <f>COUNTIFS(Etapas!$B$5:$B$60,A4,Etapas!$F$5:$F$60,"Completada")</f>
        <v/>
      </c>
      <c r="D4" s="25">
        <f>COUNTIFS(Etapas!$B$5:$B$60,A4,Etapas!$F$5:$F$60,"En progreso")</f>
        <v/>
      </c>
      <c r="E4" s="25">
        <f>COUNTIFS(Etapas!$B$5:$B$60,A4,Etapas!$F$5:$F$60,"Pendiente")</f>
        <v/>
      </c>
      <c r="F4" s="26">
        <f>IF(B4=0,0,C4/B4)</f>
        <v/>
      </c>
    </row>
    <row r="5" ht="15" customHeight="1" s="22">
      <c r="A5" s="25" t="inlineStr">
        <is>
          <t>1. Relevamiento de SF</t>
        </is>
      </c>
      <c r="B5" s="25">
        <f>COUNTIF(Etapas!$B$5:$B$60,A5)</f>
        <v/>
      </c>
      <c r="C5" s="25">
        <f>COUNTIFS(Etapas!$B$5:$B$60,A5,Etapas!$F$5:$F$60,"Completada")</f>
        <v/>
      </c>
      <c r="D5" s="25">
        <f>COUNTIFS(Etapas!$B$5:$B$60,A5,Etapas!$F$5:$F$60,"En progreso")</f>
        <v/>
      </c>
      <c r="E5" s="25">
        <f>COUNTIFS(Etapas!$B$5:$B$60,A5,Etapas!$F$5:$F$60,"Pendiente")</f>
        <v/>
      </c>
      <c r="F5" s="26">
        <f>IF(B5=0,0,C5/B5)</f>
        <v/>
      </c>
    </row>
    <row r="6" ht="15" customHeight="1" s="22">
      <c r="A6" s="25" t="inlineStr">
        <is>
          <t>2. Descarga de código</t>
        </is>
      </c>
      <c r="B6" s="25">
        <f>COUNTIF(Etapas!$B$5:$B$60,A6)</f>
        <v/>
      </c>
      <c r="C6" s="25">
        <f>COUNTIFS(Etapas!$B$5:$B$60,A6,Etapas!$F$5:$F$60,"Completada")</f>
        <v/>
      </c>
      <c r="D6" s="25">
        <f>COUNTIFS(Etapas!$B$5:$B$60,A6,Etapas!$F$5:$F$60,"En progreso")</f>
        <v/>
      </c>
      <c r="E6" s="25">
        <f>COUNTIFS(Etapas!$B$5:$B$60,A6,Etapas!$F$5:$F$60,"Pendiente")</f>
        <v/>
      </c>
      <c r="F6" s="26">
        <f>IF(B6=0,0,C6/B6)</f>
        <v/>
      </c>
    </row>
    <row r="7" ht="15" customHeight="1" s="22">
      <c r="A7" s="25" t="inlineStr">
        <is>
          <t>3. Ranking para probar sin reentrenar</t>
        </is>
      </c>
      <c r="B7" s="25">
        <f>COUNTIF(Etapas!$B$5:$B$60,A7)</f>
        <v/>
      </c>
      <c r="C7" s="25">
        <f>COUNTIFS(Etapas!$B$5:$B$60,A7,Etapas!$F$5:$F$60,"Completada")</f>
        <v/>
      </c>
      <c r="D7" s="25">
        <f>COUNTIFS(Etapas!$B$5:$B$60,A7,Etapas!$F$5:$F$60,"En progreso")</f>
        <v/>
      </c>
      <c r="E7" s="25">
        <f>COUNTIFS(Etapas!$B$5:$B$60,A7,Etapas!$F$5:$F$60,"Pendiente")</f>
        <v/>
      </c>
      <c r="F7" s="26">
        <f>IF(B7=0,0,C7/B7)</f>
        <v/>
      </c>
    </row>
    <row r="8" ht="15" customHeight="1" s="22">
      <c r="A8" s="25" t="inlineStr">
        <is>
          <t>4. Framework CombiLabHUB</t>
        </is>
      </c>
      <c r="B8" s="25">
        <f>COUNTIF(Etapas!$B$5:$B$60,A8)</f>
        <v/>
      </c>
      <c r="C8" s="25">
        <f>COUNTIFS(Etapas!$B$5:$B$60,A8,Etapas!$F$5:$F$60,"Completada")</f>
        <v/>
      </c>
      <c r="D8" s="25">
        <f>COUNTIFS(Etapas!$B$5:$B$60,A8,Etapas!$F$5:$F$60,"En progreso")</f>
        <v/>
      </c>
      <c r="E8" s="25">
        <f>COUNTIFS(Etapas!$B$5:$B$60,A8,Etapas!$F$5:$F$60,"Pendiente")</f>
        <v/>
      </c>
      <c r="F8" s="26">
        <f>IF(B8=0,0,C8/B8)</f>
        <v/>
      </c>
    </row>
    <row r="9" ht="15" customHeight="1" s="22">
      <c r="A9" s="25" t="inlineStr">
        <is>
          <t>5. Pruebas Nivel 1 (CPU, modelo listo)</t>
        </is>
      </c>
      <c r="B9" s="25">
        <f>COUNTIF(Etapas!$B$5:$B$60,A9)</f>
        <v/>
      </c>
      <c r="C9" s="25">
        <f>COUNTIFS(Etapas!$B$5:$B$60,A9,Etapas!$F$5:$F$60,"Completada")</f>
        <v/>
      </c>
      <c r="D9" s="25">
        <f>COUNTIFS(Etapas!$B$5:$B$60,A9,Etapas!$F$5:$F$60,"En progreso")</f>
        <v/>
      </c>
      <c r="E9" s="25">
        <f>COUNTIFS(Etapas!$B$5:$B$60,A9,Etapas!$F$5:$F$60,"Pendiente")</f>
        <v/>
      </c>
      <c r="F9" s="26">
        <f>IF(B9=0,0,C9/B9)</f>
        <v/>
      </c>
    </row>
    <row r="10" ht="15" customHeight="1" s="22">
      <c r="A10" s="25" t="inlineStr">
        <is>
          <t>6. Pruebas Nivel 2 (pasos extra)</t>
        </is>
      </c>
      <c r="B10" s="25">
        <f>COUNTIF(Etapas!$B$5:$B$60,A10)</f>
        <v/>
      </c>
      <c r="C10" s="25">
        <f>COUNTIFS(Etapas!$B$5:$B$60,A10,Etapas!$F$5:$F$60,"Completada")</f>
        <v/>
      </c>
      <c r="D10" s="25">
        <f>COUNTIFS(Etapas!$B$5:$B$60,A10,Etapas!$F$5:$F$60,"En progreso")</f>
        <v/>
      </c>
      <c r="E10" s="25">
        <f>COUNTIFS(Etapas!$B$5:$B$60,A10,Etapas!$F$5:$F$60,"Pendiente")</f>
        <v/>
      </c>
      <c r="F10" s="26">
        <f>IF(B10=0,0,C10/B10)</f>
        <v/>
      </c>
    </row>
    <row r="11" ht="15" customHeight="1" s="22">
      <c r="A11" s="25" t="inlineStr">
        <is>
          <t>7. Pruebas Nivel 3 (pesadas/complicadas)</t>
        </is>
      </c>
      <c r="B11" s="25">
        <f>COUNTIF(Etapas!$B$5:$B$60,A11)</f>
        <v/>
      </c>
      <c r="C11" s="25">
        <f>COUNTIFS(Etapas!$B$5:$B$60,A11,Etapas!$F$5:$F$60,"Completada")</f>
        <v/>
      </c>
      <c r="D11" s="25">
        <f>COUNTIFS(Etapas!$B$5:$B$60,A11,Etapas!$F$5:$F$60,"En progreso")</f>
        <v/>
      </c>
      <c r="E11" s="25">
        <f>COUNTIFS(Etapas!$B$5:$B$60,A11,Etapas!$F$5:$F$60,"Pendiente")</f>
        <v/>
      </c>
      <c r="F11" s="26">
        <f>IF(B11=0,0,C11/B11)</f>
        <v/>
      </c>
    </row>
    <row r="12" ht="15" customHeight="1" s="22">
      <c r="A12" s="25" t="inlineStr">
        <is>
          <t>8. Evaluación en CASF-2016</t>
        </is>
      </c>
      <c r="B12" s="25">
        <f>COUNTIF(Etapas!$B$5:$B$60,A12)</f>
        <v/>
      </c>
      <c r="C12" s="25">
        <f>COUNTIFS(Etapas!$B$5:$B$60,A12,Etapas!$F$5:$F$60,"Completada")</f>
        <v/>
      </c>
      <c r="D12" s="25">
        <f>COUNTIFS(Etapas!$B$5:$B$60,A12,Etapas!$F$5:$F$60,"En progreso")</f>
        <v/>
      </c>
      <c r="E12" s="25">
        <f>COUNTIFS(Etapas!$B$5:$B$60,A12,Etapas!$F$5:$F$60,"Pendiente")</f>
        <v/>
      </c>
      <c r="F12" s="26">
        <f>IF(B12=0,0,C12/B12)</f>
        <v/>
      </c>
    </row>
    <row r="13" ht="15" customHeight="1" s="22">
      <c r="A13" s="25" t="inlineStr">
        <is>
          <t>9. Interfaz</t>
        </is>
      </c>
      <c r="B13" s="25">
        <f>COUNTIF(Etapas!$B$5:$B$60,A13)</f>
        <v/>
      </c>
      <c r="C13" s="25">
        <f>COUNTIFS(Etapas!$B$5:$B$60,A13,Etapas!$F$5:$F$60,"Completada")</f>
        <v/>
      </c>
      <c r="D13" s="25">
        <f>COUNTIFS(Etapas!$B$5:$B$60,A13,Etapas!$F$5:$F$60,"En progreso")</f>
        <v/>
      </c>
      <c r="E13" s="25">
        <f>COUNTIFS(Etapas!$B$5:$B$60,A13,Etapas!$F$5:$F$60,"Pendiente")</f>
        <v/>
      </c>
      <c r="F13" s="26">
        <f>IF(B13=0,0,C13/B13)</f>
        <v/>
      </c>
    </row>
    <row r="14" ht="15" customHeight="1" s="22">
      <c r="A14" s="27" t="inlineStr">
        <is>
          <t>Total</t>
        </is>
      </c>
      <c r="B14" s="27">
        <f>SUM(B4:B13)</f>
        <v/>
      </c>
      <c r="C14" s="27">
        <f>SUM(C4:C13)</f>
        <v/>
      </c>
      <c r="D14" s="27">
        <f>SUM(D4:D13)</f>
        <v/>
      </c>
      <c r="E14" s="27">
        <f>SUM(E4:E13)</f>
        <v/>
      </c>
      <c r="F14" s="28">
        <f>IF(B14=0,0,C14/B14)</f>
        <v/>
      </c>
    </row>
    <row r="16" ht="15" customHeight="1" s="22">
      <c r="A16" s="29" t="inlineStr">
        <is>
          <t>Scoring functions</t>
        </is>
      </c>
    </row>
    <row r="17" ht="15" customHeight="1" s="22">
      <c r="A17" s="24" t="inlineStr">
        <is>
          <t>Nivel</t>
        </is>
      </c>
      <c r="B17" s="24" t="inlineStr">
        <is>
          <t>SF</t>
        </is>
      </c>
      <c r="C17" s="24" t="inlineStr">
        <is>
          <t>Instaladas</t>
        </is>
      </c>
      <c r="D17" s="24" t="inlineStr">
        <is>
          <t>Corren</t>
        </is>
      </c>
      <c r="E17" s="24" t="inlineStr">
        <is>
          <t>Con PCC</t>
        </is>
      </c>
      <c r="F17" s="30" t="n"/>
    </row>
    <row r="18" ht="15" customHeight="1" s="22">
      <c r="A18" s="25" t="inlineStr">
        <is>
          <t>Nivel 1</t>
        </is>
      </c>
      <c r="B18" s="25">
        <f>COUNTIF('Estado SF'!$A$5:$A$60,1)</f>
        <v/>
      </c>
      <c r="C18" s="25">
        <f>COUNTIFS('Estado SF'!$A$5:$A$60,1,'Estado SF'!$F$5:$F$60,"Sí")</f>
        <v/>
      </c>
      <c r="D18" s="25">
        <f>COUNTIFS('Estado SF'!$A$5:$A$60,1,'Estado SF'!$G$5:$G$60,"Sí")</f>
        <v/>
      </c>
      <c r="E18" s="25">
        <f>SUMPRODUCT(('Estado SF'!$A$5:$A$60=1)*ISNUMBER('Estado SF'!$H$5:$H$60))</f>
        <v/>
      </c>
    </row>
    <row r="19" ht="15" customHeight="1" s="22">
      <c r="A19" s="25" t="inlineStr">
        <is>
          <t>Nivel 2</t>
        </is>
      </c>
      <c r="B19" s="25">
        <f>COUNTIF('Estado SF'!$A$5:$A$60,2)</f>
        <v/>
      </c>
      <c r="C19" s="25">
        <f>COUNTIFS('Estado SF'!$A$5:$A$60,2,'Estado SF'!$F$5:$F$60,"Sí")</f>
        <v/>
      </c>
      <c r="D19" s="25">
        <f>COUNTIFS('Estado SF'!$A$5:$A$60,2,'Estado SF'!$G$5:$G$60,"Sí")</f>
        <v/>
      </c>
      <c r="E19" s="25">
        <f>SUMPRODUCT(('Estado SF'!$A$5:$A$60=2)*ISNUMBER('Estado SF'!$H$5:$H$60))</f>
        <v/>
      </c>
    </row>
    <row r="20" ht="15" customHeight="1" s="22">
      <c r="A20" s="25" t="inlineStr">
        <is>
          <t>Nivel 3</t>
        </is>
      </c>
      <c r="B20" s="25">
        <f>COUNTIF('Estado SF'!$A$5:$A$60,3)</f>
        <v/>
      </c>
      <c r="C20" s="25">
        <f>COUNTIFS('Estado SF'!$A$5:$A$60,3,'Estado SF'!$F$5:$F$60,"Sí")</f>
        <v/>
      </c>
      <c r="D20" s="25">
        <f>COUNTIFS('Estado SF'!$A$5:$A$60,3,'Estado SF'!$G$5:$G$60,"Sí")</f>
        <v/>
      </c>
      <c r="E20" s="25">
        <f>SUMPRODUCT(('Estado SF'!$A$5:$A$60=3)*ISNUMBER('Estado SF'!$H$5:$H$60))</f>
        <v/>
      </c>
    </row>
    <row r="22" ht="15" customHeight="1" s="22">
      <c r="A22" s="29" t="inlineStr">
        <is>
          <t>Por lista</t>
        </is>
      </c>
    </row>
    <row r="23" ht="26.25" customHeight="1" s="22">
      <c r="A23" s="24" t="inlineStr">
        <is>
          <t>Lista</t>
        </is>
      </c>
      <c r="B23" s="24" t="inlineStr">
        <is>
          <t>SF</t>
        </is>
      </c>
      <c r="C23" s="24" t="inlineStr">
        <is>
          <t>Instaladas</t>
        </is>
      </c>
      <c r="D23" s="24" t="inlineStr">
        <is>
          <t>Corren</t>
        </is>
      </c>
      <c r="E23" s="24" t="inlineStr">
        <is>
          <t>Descripción</t>
        </is>
      </c>
    </row>
    <row r="24" ht="15" customHeight="1" s="22">
      <c r="A24" s="25" t="inlineStr">
        <is>
          <t>Lista 1</t>
        </is>
      </c>
      <c r="B24" s="25">
        <f>COUNTIF('Estado SF'!$S$5:$S$60,"*1*")</f>
        <v/>
      </c>
      <c r="C24" s="25">
        <f>COUNTIFS('Estado SF'!$S$5:$S$60,"*1*",'Estado SF'!$F$5:$F$60,"Sí")</f>
        <v/>
      </c>
      <c r="D24" s="25">
        <f>COUNTIFS('Estado SF'!$S$5:$S$60,"*1*",'Estado SF'!$G$5:$G$60,"Sí")</f>
        <v/>
      </c>
      <c r="E24" s="25" t="inlineStr">
        <is>
          <t>Relevamiento original (Eaves et al. 2026 + Su et al. 2019)</t>
        </is>
      </c>
    </row>
    <row r="25" ht="15" customHeight="1" s="22">
      <c r="A25" s="25" t="inlineStr">
        <is>
          <t>Lista 2</t>
        </is>
      </c>
      <c r="B25" s="25">
        <f>COUNTIF('Estado SF'!$S$5:$S$60,"*2*")</f>
        <v/>
      </c>
      <c r="C25" s="25">
        <f>COUNTIFS('Estado SF'!$S$5:$S$60,"*2*",'Estado SF'!$F$5:$F$60,"Sí")</f>
        <v/>
      </c>
      <c r="D25" s="25">
        <f>COUNTIFS('Estado SF'!$S$5:$S$60,"*2*",'Estado SF'!$G$5:$G$60,"Sí")</f>
        <v/>
      </c>
      <c r="E25" s="25" t="inlineStr">
        <is>
          <t>Revisión sistemática de Transformers (Apresentação.pdf, diap. 22–23)</t>
        </is>
      </c>
    </row>
    <row r="26" ht="15" customHeight="1" s="22">
      <c r="A26" s="31" t="inlineStr">
        <is>
          <t>Cuenta solo las SF con fila en "Estado SF" (las descartadas sin repositorio están listadas al pie de esa hoja). "1 y 2" cuenta en ambas.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4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1" min="1" max="1"/>
    <col width="30" customWidth="1" style="21" min="2" max="2"/>
    <col width="38" customWidth="1" style="21" min="3" max="3"/>
    <col width="60" customWidth="1" style="21" min="4" max="4"/>
    <col width="11" customWidth="1" style="21" min="5" max="5"/>
    <col width="14" customWidth="1" style="21" min="6" max="7"/>
    <col width="12" customWidth="1" style="21" min="8" max="9"/>
    <col width="40" customWidth="1" style="21" min="10" max="10"/>
  </cols>
  <sheetData>
    <row r="1" ht="17.25" customHeight="1" s="22">
      <c r="A1" s="23" t="inlineStr">
        <is>
          <t>CombiLabHUB – Etapas del proyecto (evaluación de scoring functions en CASF-2016)</t>
        </is>
      </c>
    </row>
    <row r="2" ht="15" customHeight="1" s="22">
      <c r="A2" s="32" t="inlineStr">
        <is>
          <t>Fuente: MEMORIA_PROYECTO_SF.md y REQUISITOS_PRUEBAS_SF.txt (18/10/2026). Celdas amarillas = para completar (Estado, Responsable, Fechas, Notas).</t>
        </is>
      </c>
    </row>
    <row r="3"/>
    <row r="4" ht="26.25" customHeight="1" s="22">
      <c r="A4" s="24" t="inlineStr">
        <is>
          <t>ID</t>
        </is>
      </c>
      <c r="B4" s="24" t="inlineStr">
        <is>
          <t>Etapa</t>
        </is>
      </c>
      <c r="C4" s="24" t="inlineStr">
        <is>
          <t>Tarea</t>
        </is>
      </c>
      <c r="D4" s="24" t="inlineStr">
        <is>
          <t>Detalle / entregable</t>
        </is>
      </c>
      <c r="E4" s="24" t="inlineStr">
        <is>
          <t>Depende de</t>
        </is>
      </c>
      <c r="F4" s="24" t="inlineStr">
        <is>
          <t>Estado</t>
        </is>
      </c>
      <c r="G4" s="24" t="inlineStr">
        <is>
          <t>Responsable</t>
        </is>
      </c>
      <c r="H4" s="24" t="inlineStr">
        <is>
          <t>Inicio</t>
        </is>
      </c>
      <c r="I4" s="24" t="inlineStr">
        <is>
          <t>Fin</t>
        </is>
      </c>
      <c r="J4" s="24" t="inlineStr">
        <is>
          <t>Notas</t>
        </is>
      </c>
    </row>
    <row r="5" ht="26.25" customHeight="1" s="22">
      <c r="A5" s="33" t="inlineStr">
        <is>
          <t>0.1</t>
        </is>
      </c>
      <c r="B5" s="33" t="inlineStr">
        <is>
          <t>0. Preparación del entorno</t>
        </is>
      </c>
      <c r="C5" s="33" t="inlineStr">
        <is>
          <t>Instalar Miniconda (o Docker Desktop + WSL2)</t>
        </is>
      </c>
      <c r="D5" s="33" t="inlineStr">
        <is>
          <t>Miniconda recomendado; Docker para SF con MGLTools/Chimera/PyMOL</t>
        </is>
      </c>
      <c r="E5" s="33" t="n"/>
      <c r="F5" s="34" t="inlineStr">
        <is>
          <t>Completada</t>
        </is>
      </c>
      <c r="G5" s="34" t="n"/>
      <c r="H5" s="35" t="n">
        <v>46314</v>
      </c>
      <c r="I5" s="35" t="n">
        <v>46314</v>
      </c>
      <c r="J5" s="34" t="inlineStr">
        <is>
          <t>Miniconda instalado en C:\Users\Admin\miniconda3 (conda 26.9.3, Python 3.14.8, solver libmamba incluido) | 21/10/2026: Docker Desktop 4.96.1 + WSL 2 instalados (necesarios para delta_LinF9_XGB y SF solo-Linux)</t>
        </is>
      </c>
    </row>
    <row r="6" ht="26.25" customHeight="1" s="22">
      <c r="A6" s="33" t="inlineStr">
        <is>
          <t>0.2</t>
        </is>
      </c>
      <c r="B6" s="33" t="inlineStr">
        <is>
          <t>0. Preparación del entorno</t>
        </is>
      </c>
      <c r="C6" s="33" t="inlineStr">
        <is>
          <t>Informar GPU</t>
        </is>
      </c>
      <c r="D6" s="33" t="inlineStr">
        <is>
          <t>Indicar si hay NVIDIA y modelo (Dynaformer, PIGNet2, HAC-Net la necesitan)</t>
        </is>
      </c>
      <c r="E6" s="33" t="n"/>
      <c r="F6" s="34" t="inlineStr">
        <is>
          <t>Completada</t>
        </is>
      </c>
      <c r="G6" s="34" t="n"/>
      <c r="H6" s="35" t="n">
        <v>46314</v>
      </c>
      <c r="I6" s="35" t="n">
        <v>46314</v>
      </c>
      <c r="J6" s="34" t="inlineStr">
        <is>
          <t>NVIDIA Quadro P620 (Pascal, 4 GB VRAM, compute 6.1), driver 573.44 + Intel UHD integrada; 31,6 GB RAM. Usar builds de PyTorch cu118/cu126 (las cu128 no soportan Pascal). 4 GB limita a las SF pesadas del Nivel 3</t>
        </is>
      </c>
    </row>
    <row r="7" ht="15" customHeight="1" s="22">
      <c r="A7" s="33" t="inlineStr">
        <is>
          <t>0.3</t>
        </is>
      </c>
      <c r="B7" s="33" t="inlineStr">
        <is>
          <t>0. Preparación del entorno</t>
        </is>
      </c>
      <c r="C7" s="33" t="inlineStr">
        <is>
          <t>Liberar espacio en disco</t>
        </is>
      </c>
      <c r="D7" s="33" t="inlineStr">
        <is>
          <t>~100 GB, o instalar por tandas y borrar entornos probados</t>
        </is>
      </c>
      <c r="E7" s="33" t="n"/>
      <c r="F7" s="34" t="inlineStr">
        <is>
          <t>Completada</t>
        </is>
      </c>
      <c r="G7" s="34" t="n"/>
      <c r="H7" s="35" t="n">
        <v>46314</v>
      </c>
      <c r="I7" s="35" t="n">
        <v>46314</v>
      </c>
      <c r="J7" s="34" t="inlineStr">
        <is>
          <t>284 GB libres en el disco (más que los ~100 GB necesarios)</t>
        </is>
      </c>
    </row>
    <row r="8" ht="15" customHeight="1" s="22">
      <c r="A8" s="33" t="inlineStr">
        <is>
          <t>0.4</t>
        </is>
      </c>
      <c r="B8" s="33" t="inlineStr">
        <is>
          <t>0. Preparación del entorno</t>
        </is>
      </c>
      <c r="C8" s="33" t="inlineStr">
        <is>
          <t>Descargar CASF-2016</t>
        </is>
      </c>
      <c r="D8" s="33" t="inlineStr">
        <is>
          <t>Desde PDBbind (requiere registro); dejarlo en SOFTWARE SF</t>
        </is>
      </c>
      <c r="E8" s="33" t="n"/>
      <c r="F8" s="34" t="inlineStr">
        <is>
          <t>Completada</t>
        </is>
      </c>
      <c r="G8" s="34" t="n"/>
      <c r="H8" s="35" t="n">
        <v>46314</v>
      </c>
      <c r="I8" s="35" t="n">
        <v>46314</v>
      </c>
      <c r="J8" s="34" t="inlineStr">
        <is>
          <t>Descomprimido en SOFTWARE SF\CASF-2016\CASF-2016 (30.271 archivos verificados contra el .tar.gz; coreset con 285 complejos)</t>
        </is>
      </c>
    </row>
    <row r="9" ht="26.25" customHeight="1" s="22">
      <c r="A9" s="33" t="inlineStr">
        <is>
          <t>0.5</t>
        </is>
      </c>
      <c r="B9" s="33" t="inlineStr">
        <is>
          <t>0. Preparación del entorno</t>
        </is>
      </c>
      <c r="C9" s="33" t="inlineStr">
        <is>
          <t>Habilitar dominios (opcional)</t>
        </is>
      </c>
      <c r="D9" s="33" t="inlineStr">
        <is>
          <t>conda.anaconda.org, zenodo.org, figshare.com, drive.google.com, onedrive.live.com</t>
        </is>
      </c>
      <c r="E9" s="33" t="n"/>
      <c r="F9" s="34" t="inlineStr">
        <is>
          <t>Completada</t>
        </is>
      </c>
      <c r="G9" s="34" t="n"/>
      <c r="H9" s="35" t="n">
        <v>46314</v>
      </c>
      <c r="I9" s="35" t="n">
        <v>46314</v>
      </c>
      <c r="J9" s="34" t="inlineStr">
        <is>
          <t>Verificado 19/10/2026: conda.anaconda.org, zenodo.org, figshare.com, drive.google.com y onedrive.live.com accesibles desde la nube</t>
        </is>
      </c>
    </row>
    <row r="10" ht="15" customHeight="1" s="22">
      <c r="A10" s="33" t="inlineStr">
        <is>
          <t>1.1</t>
        </is>
      </c>
      <c r="B10" s="33" t="inlineStr">
        <is>
          <t>1. Relevamiento de SF</t>
        </is>
      </c>
      <c r="C10" s="33" t="inlineStr">
        <is>
          <t>Extraer tabla de 49 SF del PPTX</t>
        </is>
      </c>
      <c r="D10" s="33" t="inlineStr">
        <is>
          <t>Scoring_functions_descargadas.xlsx (ES/EN/PT)</t>
        </is>
      </c>
      <c r="E10" s="33" t="n"/>
      <c r="F10" s="34" t="inlineStr">
        <is>
          <t>Completada</t>
        </is>
      </c>
      <c r="G10" s="34" t="n"/>
      <c r="H10" s="35" t="n"/>
      <c r="I10" s="35" t="n"/>
      <c r="J10" s="34" t="n"/>
    </row>
    <row r="11" ht="26.25" customHeight="1" s="22">
      <c r="A11" s="33" t="inlineStr">
        <is>
          <t>1.2</t>
        </is>
      </c>
      <c r="B11" s="33" t="inlineStr">
        <is>
          <t>1. Relevamiento de SF</t>
        </is>
      </c>
      <c r="C11" s="33" t="inlineStr">
        <is>
          <t>Investigar 7 columnas extra</t>
        </is>
      </c>
      <c r="D11" s="33" t="inlineStr">
        <is>
          <t>Dataset, tamaño, tipo, algoritmo, descriptores, feature selection, algoritmo de selección + fuente y confianza</t>
        </is>
      </c>
      <c r="E11" s="33" t="inlineStr">
        <is>
          <t>1.1</t>
        </is>
      </c>
      <c r="F11" s="34" t="inlineStr">
        <is>
          <t>Completada</t>
        </is>
      </c>
      <c r="G11" s="34" t="n"/>
      <c r="H11" s="35" t="n"/>
      <c r="I11" s="35" t="n"/>
      <c r="J11" s="34" t="inlineStr">
        <is>
          <t>33 Alta, 8 Media, 8 Baja confianza</t>
        </is>
      </c>
    </row>
    <row r="12" ht="15" customHeight="1" s="22">
      <c r="A12" s="33" t="inlineStr">
        <is>
          <t>2.1</t>
        </is>
      </c>
      <c r="B12" s="33" t="inlineStr">
        <is>
          <t>2. Descarga de código</t>
        </is>
      </c>
      <c r="C12" s="33" t="inlineStr">
        <is>
          <t>Descargar repos de las 49 SF</t>
        </is>
      </c>
      <c r="D12" s="33" t="inlineStr">
        <is>
          <t>Funciones_Score_Tabla1/ + INDICE_funciones_score.csv</t>
        </is>
      </c>
      <c r="E12" s="33" t="inlineStr">
        <is>
          <t>1.1</t>
        </is>
      </c>
      <c r="F12" s="34" t="inlineStr">
        <is>
          <t>Completada</t>
        </is>
      </c>
      <c r="G12" s="34" t="n"/>
      <c r="H12" s="35" t="n"/>
      <c r="I12" s="35" t="n"/>
      <c r="J12" s="34" t="n"/>
    </row>
    <row r="13" ht="15" customHeight="1" s="22">
      <c r="A13" s="33" t="inlineStr">
        <is>
          <t>2.2</t>
        </is>
      </c>
      <c r="B13" s="33" t="inlineStr">
        <is>
          <t>2. Descarga de código</t>
        </is>
      </c>
      <c r="C13" s="33" t="inlineStr">
        <is>
          <t>Descargar SF de Su et al. 2019</t>
        </is>
      </c>
      <c r="D13" s="33" t="inlineStr">
        <is>
          <t>Vina, ΔVinaRF20, vina4dv en Funciones_Score_Su2018/</t>
        </is>
      </c>
      <c r="E13" s="33" t="n"/>
      <c r="F13" s="34" t="inlineStr">
        <is>
          <t>Completada</t>
        </is>
      </c>
      <c r="G13" s="34" t="n"/>
      <c r="H13" s="35" t="n"/>
      <c r="I13" s="35" t="n"/>
      <c r="J13" s="34" t="n"/>
    </row>
    <row r="14" ht="15" customHeight="1" s="22">
      <c r="A14" s="33" t="inlineStr">
        <is>
          <t>2.3</t>
        </is>
      </c>
      <c r="B14" s="33" t="inlineStr">
        <is>
          <t>2. Descarga de código</t>
        </is>
      </c>
      <c r="C14" s="33" t="inlineStr">
        <is>
          <t>Pendientes de descarga</t>
        </is>
      </c>
      <c r="D14" s="33" t="inlineStr">
        <is>
          <t>DAAP y LigityScore (GitLab); MSSDTA sin código público</t>
        </is>
      </c>
      <c r="E14" s="33" t="inlineStr">
        <is>
          <t>2.1</t>
        </is>
      </c>
      <c r="F14" s="34" t="inlineStr">
        <is>
          <t>Pendiente</t>
        </is>
      </c>
      <c r="G14" s="34" t="n"/>
      <c r="H14" s="35" t="n"/>
      <c r="I14" s="35" t="n"/>
      <c r="J14" s="34" t="n"/>
    </row>
    <row r="15" ht="15" customHeight="1" s="22">
      <c r="A15" s="33" t="inlineStr">
        <is>
          <t>2.4</t>
        </is>
      </c>
      <c r="B15" s="33" t="inlineStr">
        <is>
          <t>2. Descarga de código</t>
        </is>
      </c>
      <c r="C15" s="33" t="inlineStr">
        <is>
          <t>Verificar et_score.sav en Files.7z</t>
        </is>
      </c>
      <c r="D15" s="33" t="inlineStr">
        <is>
          <t>Confirmar modelo de ET-Score</t>
        </is>
      </c>
      <c r="E15" s="33" t="inlineStr">
        <is>
          <t>2.1</t>
        </is>
      </c>
      <c r="F15" s="34" t="inlineStr">
        <is>
          <t>Completada</t>
        </is>
      </c>
      <c r="G15" s="34" t="n"/>
      <c r="H15" s="35" t="n">
        <v>46314</v>
      </c>
      <c r="I15" s="35" t="n">
        <v>46314</v>
      </c>
      <c r="J15" s="34" t="inlineStr">
        <is>
          <t>19/10/2026: et_score.sav descargado de Figshare (10.6084/m9.figshare.23684538), MD5 c7c5865d… verificado; no hace falta Files.7z</t>
        </is>
      </c>
    </row>
    <row r="16" ht="26.25" customHeight="1" s="22">
      <c r="A16" s="33" t="inlineStr">
        <is>
          <t>3.1</t>
        </is>
      </c>
      <c r="B16" s="33" t="inlineStr">
        <is>
          <t>3. Ranking para probar sin reentrenar</t>
        </is>
      </c>
      <c r="C16" s="33" t="inlineStr">
        <is>
          <t>Clasificar SF por dificultad</t>
        </is>
      </c>
      <c r="D16" s="33" t="inlineStr">
        <is>
          <t>Nivel 1 (11), Nivel 2 (7), Nivel 3 (9), descartadas (20, sin modelo entrenado)</t>
        </is>
      </c>
      <c r="E16" s="33" t="inlineStr">
        <is>
          <t>2.1</t>
        </is>
      </c>
      <c r="F16" s="34" t="inlineStr">
        <is>
          <t>Completada</t>
        </is>
      </c>
      <c r="G16" s="34" t="n"/>
      <c r="H16" s="35" t="n"/>
      <c r="I16" s="35" t="n"/>
      <c r="J16" s="34" t="inlineStr">
        <is>
          <t xml:space="preserve"> | 21/10/2026: RFL-Score pasa del Nivel 3 al Nivel 1</t>
        </is>
      </c>
    </row>
    <row r="17" ht="26.25" customHeight="1" s="22">
      <c r="A17" s="33" t="inlineStr">
        <is>
          <t>4.1</t>
        </is>
      </c>
      <c r="B17" s="33" t="inlineStr">
        <is>
          <t>4. Framework CombiLabHUB</t>
        </is>
      </c>
      <c r="C17" s="33" t="inlineStr">
        <is>
          <t>Núcleo CLI + adaptadores Nivel 1</t>
        </is>
      </c>
      <c r="D17" s="33" t="inlineStr">
        <is>
          <t>Borrador en CombiLabHUB_borrador.tar.gz con commits upstream fijados</t>
        </is>
      </c>
      <c r="E17" s="33" t="inlineStr">
        <is>
          <t>3.1</t>
        </is>
      </c>
      <c r="F17" s="34" t="inlineStr">
        <is>
          <t>En progreso</t>
        </is>
      </c>
      <c r="G17" s="34" t="n"/>
      <c r="H17" s="35" t="n"/>
      <c r="I17" s="35" t="n"/>
      <c r="J17" s="34" t="inlineStr">
        <is>
          <t>Borrador hecho</t>
        </is>
      </c>
    </row>
    <row r="18" ht="26.25" customHeight="1" s="22">
      <c r="A18" s="33" t="inlineStr">
        <is>
          <t>4.2</t>
        </is>
      </c>
      <c r="B18" s="33" t="inlineStr">
        <is>
          <t>4. Framework CombiLabHUB</t>
        </is>
      </c>
      <c r="C18" s="33" t="inlineStr">
        <is>
          <t>Repositorio GitHub</t>
        </is>
      </c>
      <c r="D18" s="33" t="inlineStr">
        <is>
          <t>Temporal: oarrua88/combi_lab_hub_tmp; definitivo: combilab-furg/combi_lab_hub</t>
        </is>
      </c>
      <c r="E18" s="33" t="n"/>
      <c r="F18" s="34" t="inlineStr">
        <is>
          <t>En progreso</t>
        </is>
      </c>
      <c r="G18" s="34" t="n"/>
      <c r="H18" s="35" t="n"/>
      <c r="I18" s="35" t="n"/>
      <c r="J18" s="34" t="inlineStr">
        <is>
          <t>Esperando permiso al repo de la organización | 19/10/2026: GitHub vinculado a Claude; los push al repo temporal ya funcionan desde Claude</t>
        </is>
      </c>
    </row>
    <row r="19" ht="15" customHeight="1" s="22">
      <c r="A19" s="33" t="inlineStr">
        <is>
          <t>4.3</t>
        </is>
      </c>
      <c r="B19" s="33" t="inlineStr">
        <is>
          <t>4. Framework CombiLabHUB</t>
        </is>
      </c>
      <c r="C19" s="33" t="inlineStr">
        <is>
          <t>Subir el borrador al repo</t>
        </is>
      </c>
      <c r="D19" s="33" t="inlineStr">
        <is>
          <t>Descomprimir, git add, primer commit</t>
        </is>
      </c>
      <c r="E19" s="33" t="inlineStr">
        <is>
          <t>4.1, 4.2</t>
        </is>
      </c>
      <c r="F19" s="34" t="inlineStr">
        <is>
          <t>Completada</t>
        </is>
      </c>
      <c r="G19" s="34" t="n"/>
      <c r="H19" s="35" t="n"/>
      <c r="I19" s="35" t="n"/>
      <c r="J19" s="34" t="inlineStr">
        <is>
          <t>Superada: el código se subió plugin por plugin al repo temporal (commits del 19 y 20/10/2026)</t>
        </is>
      </c>
    </row>
    <row r="20" ht="15" customHeight="1" s="22">
      <c r="A20" s="33" t="inlineStr">
        <is>
          <t>4.4</t>
        </is>
      </c>
      <c r="B20" s="33" t="inlineStr">
        <is>
          <t>4. Framework CombiLabHUB</t>
        </is>
      </c>
      <c r="C20" s="33" t="inlineStr">
        <is>
          <t>Manifest de plugins</t>
        </is>
      </c>
      <c r="D20" s="33" t="inlineStr">
        <is>
          <t>Lista de SF con versión, entorno y commit upstream</t>
        </is>
      </c>
      <c r="E20" s="33" t="inlineStr">
        <is>
          <t>4.1</t>
        </is>
      </c>
      <c r="F20" s="34" t="inlineStr">
        <is>
          <t>Pendiente</t>
        </is>
      </c>
      <c r="G20" s="34" t="n"/>
      <c r="H20" s="35" t="n"/>
      <c r="I20" s="35" t="n"/>
      <c r="J20" s="34" t="n"/>
    </row>
    <row r="21" ht="15" customHeight="1" s="22">
      <c r="A21" s="33" t="inlineStr">
        <is>
          <t>4.5</t>
        </is>
      </c>
      <c r="B21" s="33" t="inlineStr">
        <is>
          <t>4. Framework CombiLabHUB</t>
        </is>
      </c>
      <c r="C21" s="33" t="inlineStr">
        <is>
          <t>environment.yml / Dockerfile por SF</t>
        </is>
      </c>
      <c r="D21" s="33" t="inlineStr">
        <is>
          <t>Un entorno reproducible por plugin</t>
        </is>
      </c>
      <c r="E21" s="33" t="inlineStr">
        <is>
          <t>4.1</t>
        </is>
      </c>
      <c r="F21" s="34" t="inlineStr">
        <is>
          <t>Completada</t>
        </is>
      </c>
      <c r="G21" s="34" t="n"/>
      <c r="H21" s="35" t="n">
        <v>46314</v>
      </c>
      <c r="I21" s="35" t="n">
        <v>46315</v>
      </c>
      <c r="J21" s="34" t="inlineStr">
        <is>
          <t>19/10/2026: hechos ET-Score, GB-Score, OnionNet-2, Sfcnn y PLANET | 20/10/2026: egGNN, GIGN, EHIGN-PLA, saCNN y DEAttentionDTA. Nivel 1 completo (10/10), environment.yml + Dockerfile con commit y MD5 fijados</t>
        </is>
      </c>
    </row>
    <row r="22" ht="15" customHeight="1" s="22">
      <c r="A22" s="33" t="inlineStr">
        <is>
          <t>4.6</t>
        </is>
      </c>
      <c r="B22" s="33" t="inlineStr">
        <is>
          <t>4. Framework CombiLabHUB</t>
        </is>
      </c>
      <c r="C22" s="33" t="inlineStr">
        <is>
          <t>setup.sh</t>
        </is>
      </c>
      <c r="D22" s="33" t="inlineStr">
        <is>
          <t>Script de instalación automatizada</t>
        </is>
      </c>
      <c r="E22" s="33" t="inlineStr">
        <is>
          <t>4.5</t>
        </is>
      </c>
      <c r="F22" s="34" t="inlineStr">
        <is>
          <t>Pendiente</t>
        </is>
      </c>
      <c r="G22" s="34" t="n"/>
      <c r="H22" s="35" t="n"/>
      <c r="I22" s="35" t="n"/>
      <c r="J22" s="34" t="n"/>
    </row>
    <row r="23" ht="15" customHeight="1" s="22">
      <c r="A23" s="33" t="inlineStr">
        <is>
          <t>4.7</t>
        </is>
      </c>
      <c r="B23" s="33" t="inlineStr">
        <is>
          <t>4. Framework CombiLabHUB</t>
        </is>
      </c>
      <c r="C23" s="33" t="inlineStr">
        <is>
          <t>INSTALAR.md por plugin</t>
        </is>
      </c>
      <c r="D23" s="33" t="inlineStr">
        <is>
          <t>Guía de instalación paso a paso</t>
        </is>
      </c>
      <c r="E23" s="33" t="inlineStr">
        <is>
          <t>4.5</t>
        </is>
      </c>
      <c r="F23" s="34" t="inlineStr">
        <is>
          <t>En progreso</t>
        </is>
      </c>
      <c r="G23" s="34" t="n"/>
      <c r="H23" s="35" t="n">
        <v>46314</v>
      </c>
      <c r="I23" s="35" t="n"/>
      <c r="J23" s="34" t="inlineStr">
        <is>
          <t>19/10/2026: ET-Score, GB-Score, OnionNet-2, Sfcnn y PLANET | 20/10/2026: egGNN, GIGN, EHIGN-PLA, saCNN y DEAttentionDTA. INSTALL.md + test_1a30.py + demo .bat para las 10 SF del Nivel 1 (en inglés)</t>
        </is>
      </c>
    </row>
    <row r="24" ht="15" customHeight="1" s="22">
      <c r="A24" s="33" t="inlineStr">
        <is>
          <t>4.8</t>
        </is>
      </c>
      <c r="B24" s="33" t="inlineStr">
        <is>
          <t>4. Framework CombiLabHUB</t>
        </is>
      </c>
      <c r="C24" s="33" t="inlineStr">
        <is>
          <t>README del proyecto</t>
        </is>
      </c>
      <c r="D24" s="33" t="inlineStr">
        <is>
          <t>Uso del CLI, estructura, cómo agregar una SF</t>
        </is>
      </c>
      <c r="E24" s="33" t="inlineStr">
        <is>
          <t>4.1</t>
        </is>
      </c>
      <c r="F24" s="34" t="inlineStr">
        <is>
          <t>Completada</t>
        </is>
      </c>
      <c r="G24" s="34" t="n"/>
      <c r="H24" s="35" t="n">
        <v>46316</v>
      </c>
      <c r="I24" s="35" t="n">
        <v>46316</v>
      </c>
      <c r="J24" s="34" t="inlineStr">
        <is>
          <t>21/10/2026: README.md con estructura, carpetas, uso rápido y cómo agregar una SF</t>
        </is>
      </c>
    </row>
    <row r="25" ht="26.25" customHeight="1" s="22">
      <c r="A25" s="33" t="inlineStr">
        <is>
          <t>5.1</t>
        </is>
      </c>
      <c r="B25" s="33" t="inlineStr">
        <is>
          <t>5. Pruebas Nivel 1 (CPU, modelo listo)</t>
        </is>
      </c>
      <c r="C25" s="33" t="inlineStr">
        <is>
          <t>ET-Score y GB-Score</t>
        </is>
      </c>
      <c r="D25" s="33" t="inlineStr">
        <is>
          <t>Mismo entorno scikit-learn; test con 1 complejo + core set CASF-2016</t>
        </is>
      </c>
      <c r="E25" s="33" t="inlineStr">
        <is>
          <t>0.4, 4.5</t>
        </is>
      </c>
      <c r="F25" s="34" t="inlineStr">
        <is>
          <t>En progreso</t>
        </is>
      </c>
      <c r="G25" s="34" t="n"/>
      <c r="H25" s="35" t="n">
        <v>46314</v>
      </c>
      <c r="I25" s="35" t="n"/>
      <c r="J25" s="34" t="inlineStr">
        <is>
          <t>Primeras a probar | 19/10/2026: ET-Score y GB-Score pasan el test con 1a30 (pKd 5.6837 y 5.6171). Falta correr el core set completo y calcular PCC | 21/10/2026: la corrida del core set completo queda reservada para el video (ver 8.1)</t>
        </is>
      </c>
    </row>
    <row r="26" ht="26.25" customHeight="1" s="22">
      <c r="A26" s="33" t="inlineStr">
        <is>
          <t>5.2</t>
        </is>
      </c>
      <c r="B26" s="33" t="inlineStr">
        <is>
          <t>5. Pruebas Nivel 1 (CPU, modelo listo)</t>
        </is>
      </c>
      <c r="C26" s="33" t="inlineStr">
        <is>
          <t>OnionNet-2 y SFCNN</t>
        </is>
      </c>
      <c r="D26" s="33" t="inlineStr">
        <is>
          <t>TensorFlow CPU (+ OpenBabel en SFCNN)</t>
        </is>
      </c>
      <c r="E26" s="33" t="inlineStr">
        <is>
          <t>5.1</t>
        </is>
      </c>
      <c r="F26" s="34" t="inlineStr">
        <is>
          <t>Completada</t>
        </is>
      </c>
      <c r="G26" s="34" t="n"/>
      <c r="H26" s="35" t="n">
        <v>46314</v>
      </c>
      <c r="I26" s="35" t="n">
        <v>46314</v>
      </c>
      <c r="J26" s="34" t="inlineStr">
        <is>
          <t>19/10/2026: OnionNet-2 (pKd 1a30 5.4568 con archivos de los autores / 5.8866 CASF) y Sfcnn (5.4721, igual a los autores; 74 poses de docking iguales) pasan el test con 1a30</t>
        </is>
      </c>
    </row>
    <row r="27" ht="26.25" customHeight="1" s="22">
      <c r="A27" s="33" t="inlineStr">
        <is>
          <t>5.3</t>
        </is>
      </c>
      <c r="B27" s="33" t="inlineStr">
        <is>
          <t>5. Pruebas Nivel 1 (CPU, modelo listo)</t>
        </is>
      </c>
      <c r="C27" s="33" t="inlineStr">
        <is>
          <t>Resto del Nivel 1</t>
        </is>
      </c>
      <c r="D27" s="33" t="inlineStr">
        <is>
          <t>PLANET, egGNN, GIGN, EHIGN-PLA, saCNN, DEAttentionDTA</t>
        </is>
      </c>
      <c r="E27" s="33" t="inlineStr">
        <is>
          <t>5.2</t>
        </is>
      </c>
      <c r="F27" s="34" t="inlineStr">
        <is>
          <t>Completada</t>
        </is>
      </c>
      <c r="G27" s="34" t="n"/>
      <c r="H27" s="35" t="n">
        <v>46314</v>
      </c>
      <c r="I27" s="35" t="n">
        <v>46315</v>
      </c>
      <c r="J27" s="34" t="inlineStr">
        <is>
          <t>19/10/2026: PLANET pasa el test con 1a30 | 20/10/2026: egGNN (5.1040), GIGN (media 5.7230), EHIGN-PLA (media 5.4670), saCNN (5.0950) y DEAttentionDTA (6.2026 CASF / 6.3185 autores) pasan el test con 1a30 en Linux. Falta confirmar en Windows</t>
        </is>
      </c>
    </row>
    <row r="28" ht="26.25" customHeight="1" s="22">
      <c r="A28" s="33" t="inlineStr">
        <is>
          <t>6.1</t>
        </is>
      </c>
      <c r="B28" s="33" t="inlineStr">
        <is>
          <t>6. Pruebas Nivel 2 (pasos extra)</t>
        </is>
      </c>
      <c r="C28" s="33" t="inlineStr">
        <is>
          <t>SF del Nivel 2</t>
        </is>
      </c>
      <c r="D28" s="33" t="inlineStr">
        <is>
          <t>DeepBindGCN, HAC-Net, delta_LinF9_XGB, GraphscoreDTA, IGModel, ConBAP, CPIScore</t>
        </is>
      </c>
      <c r="E28" s="33" t="inlineStr">
        <is>
          <t>5.3</t>
        </is>
      </c>
      <c r="F28" s="34" t="inlineStr">
        <is>
          <t>Completada</t>
        </is>
      </c>
      <c r="G28" s="34" t="n"/>
      <c r="H28" s="35" t="n">
        <v>46316</v>
      </c>
      <c r="I28" s="35" t="n">
        <v>46316</v>
      </c>
      <c r="J28" s="34"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22">
      <c r="A29" s="33" t="inlineStr">
        <is>
          <t>6.2</t>
        </is>
      </c>
      <c r="B29" s="33" t="inlineStr">
        <is>
          <t>6. Pruebas Nivel 2 (pasos extra)</t>
        </is>
      </c>
      <c r="C29" s="33" t="inlineStr">
        <is>
          <t>Investigar cómo GraphscoreDTA prepara sus complejos de test</t>
        </is>
      </c>
      <c r="D29" s="33"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33" t="inlineStr">
        <is>
          <t>6.1</t>
        </is>
      </c>
      <c r="F29" s="34" t="inlineStr">
        <is>
          <t>Pendiente</t>
        </is>
      </c>
      <c r="G29" s="34" t="n"/>
      <c r="H29" s="35" t="n">
        <v>46316</v>
      </c>
      <c r="I29" s="35" t="n"/>
      <c r="J29" s="34"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22">
      <c r="A30" s="33" t="inlineStr">
        <is>
          <t>7.1</t>
        </is>
      </c>
      <c r="B30" s="33" t="inlineStr">
        <is>
          <t>7. Pruebas Nivel 3 (pesadas/complicadas)</t>
        </is>
      </c>
      <c r="C30" s="33" t="inlineStr">
        <is>
          <t>SF del Nivel 3</t>
        </is>
      </c>
      <c r="D30" s="33" t="inlineStr">
        <is>
          <t>PointNet, PIGNet2, Dynaformer, TopoFormer, BAPA, CGraphDTA, EGNA, HydraScreen, P3-Score</t>
        </is>
      </c>
      <c r="E30" s="33" t="inlineStr">
        <is>
          <t>6.1, 0.2</t>
        </is>
      </c>
      <c r="F30" s="34" t="inlineStr">
        <is>
          <t>En progreso</t>
        </is>
      </c>
      <c r="G30" s="34" t="n"/>
      <c r="H30" s="35" t="n">
        <v>46317</v>
      </c>
      <c r="I30" s="35" t="n"/>
      <c r="J30" s="34" t="inlineStr">
        <is>
          <t>GPU, licencias (X-Score) o API (HydraScreen) | 22/10/2026: revisadas las 9 SF. PIGNet2 hasta el test con 1a30 (PASS, corre en CPU). Orden sugerido para seguir: HydraScreen (inferencia local), PointNet, BAPA, TopoFormer, Dynaformer; CGraphDTA/EGNA (bases HHblits) y P3-Score (X-Score) al final | 22/10/2026: PointNet/PointTransformer hasta el test con 1a30 (PASS; pipeline completo en Docker). HydraScreen local bloqueada (paquetes privados de Ro5): queda la API | 22/10/2026: BAPA hasta el test (PASS; reproduce el ejemplo 10gs de los autores)</t>
        </is>
      </c>
    </row>
    <row r="31" ht="26.25" customHeight="1" s="22">
      <c r="A31" s="33" t="inlineStr">
        <is>
          <t>8.1</t>
        </is>
      </c>
      <c r="B31" s="33" t="inlineStr">
        <is>
          <t>8. Evaluación en CASF-2016</t>
        </is>
      </c>
      <c r="C31" s="33" t="inlineStr">
        <is>
          <t>Calcular PCC por SF</t>
        </is>
      </c>
      <c r="D31" s="33" t="inlineStr">
        <is>
          <t>Comparar PCC obtenido vs. reportado (hoja Estado SF)</t>
        </is>
      </c>
      <c r="E31" s="33" t="inlineStr">
        <is>
          <t>5.1</t>
        </is>
      </c>
      <c r="F31" s="34" t="inlineStr">
        <is>
          <t>Pendiente</t>
        </is>
      </c>
      <c r="G31" s="34" t="n"/>
      <c r="H31" s="35" t="n"/>
      <c r="I31" s="35" t="n"/>
      <c r="J31" s="34"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22">
      <c r="A32" s="33" t="inlineStr">
        <is>
          <t>8.2</t>
        </is>
      </c>
      <c r="B32" s="33" t="inlineStr">
        <is>
          <t>8. Evaluación en CASF-2016</t>
        </is>
      </c>
      <c r="C32" s="33" t="inlineStr">
        <is>
          <t>Usar versiones corregidas de Eaves et al.</t>
        </is>
      </c>
      <c r="D32" s="33" t="inlineStr">
        <is>
          <t>17 modelos en github.com/jeavesj</t>
        </is>
      </c>
      <c r="E32" s="33" t="n"/>
      <c r="F32" s="34" t="inlineStr">
        <is>
          <t>Pendiente</t>
        </is>
      </c>
      <c r="G32" s="34" t="n"/>
      <c r="H32" s="35" t="n"/>
      <c r="I32" s="35" t="n"/>
      <c r="J32" s="34" t="n"/>
    </row>
    <row r="33" ht="15" customHeight="1" s="22">
      <c r="A33" s="33" t="inlineStr">
        <is>
          <t>8.3</t>
        </is>
      </c>
      <c r="B33" s="33" t="inlineStr">
        <is>
          <t>8. Evaluación en CASF-2016</t>
        </is>
      </c>
      <c r="C33" s="33" t="inlineStr">
        <is>
          <t>Informe comparativo</t>
        </is>
      </c>
      <c r="D33" s="33" t="inlineStr">
        <is>
          <t>Tabla/gráficos de resultados para el laboratorio</t>
        </is>
      </c>
      <c r="E33" s="33" t="inlineStr">
        <is>
          <t>8.1</t>
        </is>
      </c>
      <c r="F33" s="34" t="inlineStr">
        <is>
          <t>Pendiente</t>
        </is>
      </c>
      <c r="G33" s="34" t="n"/>
      <c r="H33" s="35" t="n"/>
      <c r="I33" s="35" t="n"/>
      <c r="J33" s="34" t="n"/>
    </row>
    <row r="34" ht="15" customHeight="1" s="22">
      <c r="A34" s="33" t="inlineStr">
        <is>
          <t>9.1</t>
        </is>
      </c>
      <c r="B34" s="33" t="inlineStr">
        <is>
          <t>9. Interfaz</t>
        </is>
      </c>
      <c r="C34" s="33" t="inlineStr">
        <is>
          <t>Interfaz para ejecutar cada SF</t>
        </is>
      </c>
      <c r="D34" s="33" t="inlineStr">
        <is>
          <t>UI sobre el CLI de CombiLabHUB</t>
        </is>
      </c>
      <c r="E34" s="33" t="inlineStr">
        <is>
          <t>5.3</t>
        </is>
      </c>
      <c r="F34" s="34" t="inlineStr">
        <is>
          <t>Pendiente</t>
        </is>
      </c>
      <c r="G34" s="34" t="n"/>
      <c r="H34" s="35" t="n"/>
      <c r="I34" s="35" t="n"/>
      <c r="J34" s="34" t="n"/>
    </row>
    <row r="35" ht="165.75" customHeight="1" s="22">
      <c r="A35" s="33" t="inlineStr">
        <is>
          <t>5.4</t>
        </is>
      </c>
      <c r="B35" s="33" t="inlineStr">
        <is>
          <t>5. Pruebas Nivel 1 (CPU, modelo listo)</t>
        </is>
      </c>
      <c r="C35" s="33" t="inlineStr">
        <is>
          <t>RFL-Score (SF de combi-lab)</t>
        </is>
      </c>
      <c r="D35" s="33" t="inlineStr">
        <is>
          <t>Plugin plugins/rfl_score: test liviano con R en Windows + pipeline completo de 160 features con Docker</t>
        </is>
      </c>
      <c r="E35" s="33" t="inlineStr">
        <is>
          <t>5.3</t>
        </is>
      </c>
      <c r="F35" s="34" t="inlineStr">
        <is>
          <t>Completada</t>
        </is>
      </c>
      <c r="G35" s="34" t="n"/>
      <c r="H35" s="35" t="n">
        <v>46316</v>
      </c>
      <c r="I35" s="35" t="n">
        <v>46316</v>
      </c>
      <c r="J35" s="34"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row r="36" ht="115.5" customHeight="1" s="22">
      <c r="A36" s="33" t="inlineStr">
        <is>
          <t>1.3</t>
        </is>
      </c>
      <c r="B36" s="33" t="inlineStr">
        <is>
          <t>1. Relevamiento de SF</t>
        </is>
      </c>
      <c r="C36" s="33" t="inlineStr">
        <is>
          <t>Relevar Lista 2 (revisión de Transformers)</t>
        </is>
      </c>
      <c r="D36" s="33" t="inlineStr">
        <is>
          <t>25 SF de Apresentação.pdf, diap. 22–23: 13 con repositorio, 12 sin</t>
        </is>
      </c>
      <c r="E36" s="33" t="n"/>
      <c r="F36" s="34" t="inlineStr">
        <is>
          <t>Completada</t>
        </is>
      </c>
      <c r="G36" s="36" t="n">
        <v>46318</v>
      </c>
      <c r="H36" s="35" t="n">
        <v>46318</v>
      </c>
      <c r="I36" s="35" t="inlineStr">
        <is>
          <t>23/10/2026: agregadas a "Estado SF" con Lista = 2. CPIScore y DeepTGIN ya estaban en la Lista 1</t>
        </is>
      </c>
      <c r="J36" s="34" t="n"/>
    </row>
    <row r="37" ht="153" customHeight="1" s="22">
      <c r="A37" s="33" t="inlineStr">
        <is>
          <t>2.5</t>
        </is>
      </c>
      <c r="B37" s="33" t="inlineStr">
        <is>
          <t>2. Descarga de código</t>
        </is>
      </c>
      <c r="C37" s="33" t="inlineStr">
        <is>
          <t>Descargar repos de la Lista 2</t>
        </is>
      </c>
      <c r="D37" s="33" t="inlineStr">
        <is>
          <t>DeepRLI, MMPD-DTA, T-ALPHA, DTITR, DTA-GTOmega, PLiSAGE, TransScore, SST, DBGT-PLA, GITK</t>
        </is>
      </c>
      <c r="E37" s="33" t="inlineStr">
        <is>
          <t>1.3</t>
        </is>
      </c>
      <c r="F37" s="34" t="inlineStr">
        <is>
          <t>Pendiente</t>
        </is>
      </c>
      <c r="G37" s="34" t="n"/>
      <c r="H37" s="35" t="n"/>
      <c r="I37" s="35" t="inlineStr">
        <is>
          <t>Faltan las URL de DTA-GTOmega, PLiSAGE, TransScore, SST, DBGT-PLA y GITK (referencias de la revisión)</t>
        </is>
      </c>
      <c r="J37" s="34" t="n"/>
    </row>
    <row r="38" ht="115.5" customHeight="1" s="22">
      <c r="A38" s="33" t="inlineStr">
        <is>
          <t>3.2</t>
        </is>
      </c>
      <c r="B38" s="33" t="inlineStr">
        <is>
          <t>3. Ranking para probar sin reentrenar</t>
        </is>
      </c>
      <c r="C38" s="33" t="inlineStr">
        <is>
          <t>Clasificar la Lista 2 por nivel</t>
        </is>
      </c>
      <c r="D38" s="33" t="inlineStr">
        <is>
          <t>Nivel 1: DeepRLI; Nivel 2: MMPD-DTA, T-ALPHA, DTITR; Nivel 3: DTA-GTOmega, PLiSAGE, TransScore, SST, DBGT-PLA, GITK; descartadas: DeepTGIN, MRBDTA y las 12 sin repo</t>
        </is>
      </c>
      <c r="E38" s="33" t="inlineStr">
        <is>
          <t>1.3</t>
        </is>
      </c>
      <c r="F38" s="34" t="inlineStr">
        <is>
          <t>Completada</t>
        </is>
      </c>
      <c r="G38" s="36" t="n">
        <v>46318</v>
      </c>
      <c r="H38" s="35" t="n">
        <v>46318</v>
      </c>
      <c r="I38" s="35" t="inlineStr">
        <is>
          <t>Los de Nivel 3 "por verificar" pueden bajar de nivel cuando se revise su repo</t>
        </is>
      </c>
      <c r="J38" s="34" t="n"/>
    </row>
    <row r="39" ht="26.25" customHeight="1" s="22">
      <c r="A39" s="33" t="inlineStr">
        <is>
          <t>5.5</t>
        </is>
      </c>
      <c r="B39" s="33" t="inlineStr">
        <is>
          <t>5. Pruebas Nivel 1 (CPU, modelo listo)</t>
        </is>
      </c>
      <c r="C39" s="33" t="inlineStr">
        <is>
          <t>Lista 2 – Nivel 1</t>
        </is>
      </c>
      <c r="D39" s="33" t="inlineStr">
        <is>
          <t>DeepRLI hasta el test con 1a30</t>
        </is>
      </c>
      <c r="E39" s="33" t="inlineStr">
        <is>
          <t>2.5</t>
        </is>
      </c>
      <c r="F39" s="34" t="inlineStr">
        <is>
          <t>Completada</t>
        </is>
      </c>
      <c r="G39" s="34" t="n"/>
      <c r="H39" s="35" t="n">
        <v>46318</v>
      </c>
      <c r="I39" s="35" t="n">
        <v>46318</v>
      </c>
      <c r="J39" s="34" t="inlineStr">
        <is>
          <t>23/10/2026: DeepRLI test 1a30 PASS (Windows conda y Docker, pKd 4.1986)</t>
        </is>
      </c>
    </row>
    <row r="40" ht="26.25" customHeight="1" s="22">
      <c r="A40" s="33" t="inlineStr">
        <is>
          <t>6.3</t>
        </is>
      </c>
      <c r="B40" s="33" t="inlineStr">
        <is>
          <t>6. Pruebas Nivel 2 (pasos extra)</t>
        </is>
      </c>
      <c r="C40" s="33" t="inlineStr">
        <is>
          <t>Lista 2 – Nivel 2</t>
        </is>
      </c>
      <c r="D40" s="33" t="inlineStr">
        <is>
          <t>MMPD-DTA, T-ALPHA, DTITR hasta el test con 1a30</t>
        </is>
      </c>
      <c r="E40" s="33" t="inlineStr">
        <is>
          <t>2.5</t>
        </is>
      </c>
      <c r="F40" s="34" t="inlineStr">
        <is>
          <t>Completada</t>
        </is>
      </c>
      <c r="G40" s="34" t="n"/>
      <c r="H40" s="35" t="n">
        <v>46318</v>
      </c>
      <c r="I40" s="35" t="n">
        <v>46320</v>
      </c>
      <c r="J40" s="34" t="inlineStr">
        <is>
          <t>23/10/2026: MMPD-DTA test 1a30 PASS (Windows conda y Docker, pKd 5.3879). Faltan T-ALPHA y DTITR | 25/10/2026: DTITR test 1a30 PASS (Windows conda y Docker, pKd 5.0047). Falta T-ALPHA. | 25/10/2026: T-ALPHA test 1a30 PASS en Linux (5.7758 / 5.7024) y reproduce el PCC del artículo (0.869) con las features de los autores; imagen Docker probada en la PC del laboratorio (PASS).</t>
        </is>
      </c>
    </row>
    <row r="41" ht="26.25" customHeight="1" s="22">
      <c r="A41" s="33" t="inlineStr">
        <is>
          <t>7.2</t>
        </is>
      </c>
      <c r="B41" s="33" t="inlineStr">
        <is>
          <t>7. Pruebas Nivel 3 (pesadas/complicadas)</t>
        </is>
      </c>
      <c r="C41" s="33" t="inlineStr">
        <is>
          <t>Lista 2 – Nivel 3</t>
        </is>
      </c>
      <c r="D41" s="33" t="inlineStr">
        <is>
          <t>DTA-GTOmega, PLiSAGE, TransScore, SST, DBGT-PLA, GITK: revisar repo y modelo</t>
        </is>
      </c>
      <c r="E41" s="33" t="inlineStr">
        <is>
          <t>2.5</t>
        </is>
      </c>
      <c r="F41" s="34" t="inlineStr">
        <is>
          <t>Pendiente</t>
        </is>
      </c>
      <c r="G41" s="34" t="n"/>
      <c r="H41" s="35" t="n"/>
      <c r="I41" s="35" t="n"/>
      <c r="J41" s="34"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6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S6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1" min="1" max="1"/>
    <col width="5" customWidth="1" style="21" min="2" max="2"/>
    <col width="20" customWidth="1" style="21" min="3" max="3"/>
    <col width="32" customWidth="1" style="21" min="4" max="4"/>
    <col width="30" customWidth="1" style="21" min="5" max="5"/>
    <col width="11" customWidth="1" style="21" min="6" max="6"/>
    <col width="10" customWidth="1" style="21" min="7" max="7"/>
    <col width="12" customWidth="1" style="21" min="8" max="9"/>
    <col width="11" customWidth="1" style="21" min="10" max="10"/>
    <col width="40" customWidth="1" style="21" min="11" max="11"/>
    <col width="20" customWidth="1" style="21" min="12" max="12"/>
    <col width="26" customWidth="1" style="21" min="13" max="14"/>
    <col width="28" customWidth="1" style="21" min="15" max="15"/>
    <col width="26" customWidth="1" style="21" min="16" max="16"/>
    <col width="16" customWidth="1" style="21" min="17" max="17"/>
    <col width="18" customWidth="1" style="21" min="18" max="18"/>
    <col width="9" customWidth="1" style="21" min="19" max="19"/>
  </cols>
  <sheetData>
    <row r="1" ht="17.25" customHeight="1" s="22">
      <c r="A1" s="23" t="inlineStr">
        <is>
          <t>Estado de cada scoring function (solo inferencia, sin reentrenar)</t>
        </is>
      </c>
    </row>
    <row r="2" ht="15" customHeight="1" s="22">
      <c r="A2" s="32" t="inlineStr">
        <is>
          <t>Completar celdas amarillas. PCC reportado = valor del artículo original en CASF-2016. Diferencia se calcula sola. Columnas L–R: scripts de cada plugin (combi_lab_hub_tmp/plugins/&lt;carpeta&gt;); tools/docker_test_all.bat (.sh) corre todos los tests con Docker y deja un resumen. Columna S (Lista): 1 = lista original; 2 = SF nuevas de la revisión de Transformers (Apresentação.pdf); "1 y 2" = en ambas.</t>
        </is>
      </c>
    </row>
    <row r="3"/>
    <row r="4" ht="39" customHeight="1" s="22">
      <c r="A4" s="24" t="inlineStr">
        <is>
          <t>Nivel</t>
        </is>
      </c>
      <c r="B4" s="24" t="inlineStr">
        <is>
          <t>#</t>
        </is>
      </c>
      <c r="C4" s="24" t="inlineStr">
        <is>
          <t>Scoring function</t>
        </is>
      </c>
      <c r="D4" s="24" t="inlineStr">
        <is>
          <t>Modelo entrenado / fuente</t>
        </is>
      </c>
      <c r="E4" s="24" t="inlineStr">
        <is>
          <t>Dependencias principales</t>
        </is>
      </c>
      <c r="F4" s="24" t="inlineStr">
        <is>
          <t>Instalada</t>
        </is>
      </c>
      <c r="G4" s="24" t="inlineStr">
        <is>
          <t>Corre</t>
        </is>
      </c>
      <c r="H4" s="24" t="inlineStr">
        <is>
          <t>PCC obtenido</t>
        </is>
      </c>
      <c r="I4" s="24" t="inlineStr">
        <is>
          <t>PCC reportado</t>
        </is>
      </c>
      <c r="J4" s="24" t="inlineStr">
        <is>
          <t>Diferencia</t>
        </is>
      </c>
      <c r="K4" s="24" t="inlineStr">
        <is>
          <t>Problemas / notas</t>
        </is>
      </c>
      <c r="L4" s="24" t="inlineStr">
        <is>
          <t>Plugin (carpeta en plugins/)</t>
        </is>
      </c>
      <c r="M4" s="24" t="inlineStr">
        <is>
          <t>Windows conda (.bat)</t>
        </is>
      </c>
      <c r="N4" s="24" t="inlineStr">
        <is>
          <t>Imagen Docker</t>
        </is>
      </c>
      <c r="O4" s="24" t="inlineStr">
        <is>
          <t>Windows Docker (.bat)</t>
        </is>
      </c>
      <c r="P4" s="24" t="inlineStr">
        <is>
          <t>Linux Docker (.sh)</t>
        </is>
      </c>
      <c r="Q4" s="24" t="inlineStr">
        <is>
          <t>Test Docker 1a30</t>
        </is>
      </c>
      <c r="R4" s="24" t="inlineStr">
        <is>
          <t>Test Windows conda 1a30</t>
        </is>
      </c>
      <c r="S4" s="24" t="inlineStr">
        <is>
          <t>Lista</t>
        </is>
      </c>
    </row>
    <row r="5" ht="15" customHeight="1" s="22">
      <c r="A5" s="33" t="n">
        <v>1</v>
      </c>
      <c r="B5" s="33" t="n">
        <v>1</v>
      </c>
      <c r="C5" s="33" t="inlineStr">
        <is>
          <t>ET-Score</t>
        </is>
      </c>
      <c r="D5" s="33" t="inlineStr">
        <is>
          <t>et_score.sav (Files.7z o Figshare)</t>
        </is>
      </c>
      <c r="E5" s="33" t="inlineStr">
        <is>
          <t>scikit-learn</t>
        </is>
      </c>
      <c r="F5" s="34" t="inlineStr">
        <is>
          <t>Sí</t>
        </is>
      </c>
      <c r="G5" s="34" t="inlineStr">
        <is>
          <t>Sí</t>
        </is>
      </c>
      <c r="H5" s="37" t="n"/>
      <c r="I5" s="37" t="n">
        <v>0.827</v>
      </c>
      <c r="J5" s="38">
        <f>IF(AND(ISNUMBER(H5),ISNUMBER(I5)),H5-I5,"")</f>
        <v/>
      </c>
      <c r="K5" s="34" t="inlineStr">
        <is>
          <t>19/10/2026: test 1a30 PASS (pKd 5.6837, igual a los autores). Requiere Python 3.7 + sklearn 0.22.2 exactos; con 0.22.2 los autores reportan PCC 0.793. Plugin: plugins/et_score</t>
        </is>
      </c>
      <c r="L5" s="34" t="inlineStr">
        <is>
          <t>et_score</t>
        </is>
      </c>
      <c r="M5" s="34" t="inlineStr">
        <is>
          <t>demo_et_score.bat</t>
        </is>
      </c>
      <c r="N5" s="34" t="inlineStr">
        <is>
          <t>combilab/et-score:1.0</t>
        </is>
      </c>
      <c r="O5" s="34" t="inlineStr">
        <is>
          <t>docker_et_score.bat</t>
        </is>
      </c>
      <c r="P5" s="34" t="inlineStr">
        <is>
          <t>docker_et_score.sh</t>
        </is>
      </c>
      <c r="Q5" s="37" t="inlineStr">
        <is>
          <t>Pendiente</t>
        </is>
      </c>
      <c r="R5" s="37" t="inlineStr">
        <is>
          <t>Pendiente</t>
        </is>
      </c>
      <c r="S5" s="33" t="inlineStr">
        <is>
          <t>1</t>
        </is>
      </c>
    </row>
    <row r="6" ht="15" customHeight="1" s="22">
      <c r="A6" s="33" t="n">
        <v>1</v>
      </c>
      <c r="B6" s="33" t="n">
        <v>2</v>
      </c>
      <c r="C6" s="33" t="inlineStr">
        <is>
          <t>GB-Score</t>
        </is>
      </c>
      <c r="D6" s="33" t="inlineStr">
        <is>
          <t>.joblib en Figshare</t>
        </is>
      </c>
      <c r="E6" s="33" t="inlineStr">
        <is>
          <t>scikit-learn</t>
        </is>
      </c>
      <c r="F6" s="34" t="inlineStr">
        <is>
          <t>Sí</t>
        </is>
      </c>
      <c r="G6" s="34" t="inlineStr">
        <is>
          <t>Sí</t>
        </is>
      </c>
      <c r="H6" s="37" t="n"/>
      <c r="I6" s="37" t="n">
        <v>0.862</v>
      </c>
      <c r="J6" s="38">
        <f>IF(AND(ISNUMBER(H6),ISNUMBER(I6)),H6-I6,"")</f>
        <v/>
      </c>
      <c r="K6" s="34"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34" t="inlineStr">
        <is>
          <t>gb_score</t>
        </is>
      </c>
      <c r="M6" s="34" t="inlineStr">
        <is>
          <t>demo_gb_score.bat</t>
        </is>
      </c>
      <c r="N6" s="34" t="inlineStr">
        <is>
          <t>combilab/gb-score:1.0</t>
        </is>
      </c>
      <c r="O6" s="34" t="inlineStr">
        <is>
          <t>docker_gb_score.bat</t>
        </is>
      </c>
      <c r="P6" s="34" t="inlineStr">
        <is>
          <t>docker_gb_score.sh</t>
        </is>
      </c>
      <c r="Q6" s="37" t="inlineStr">
        <is>
          <t>Pendiente</t>
        </is>
      </c>
      <c r="R6" s="37" t="inlineStr">
        <is>
          <t>Pendiente</t>
        </is>
      </c>
      <c r="S6" s="33" t="inlineStr">
        <is>
          <t>1</t>
        </is>
      </c>
    </row>
    <row r="7" ht="15" customHeight="1" s="22">
      <c r="A7" s="33" t="n">
        <v>1</v>
      </c>
      <c r="B7" s="33" t="n">
        <v>3</v>
      </c>
      <c r="C7" s="33" t="inlineStr">
        <is>
          <t>OnionNet-2</t>
        </is>
      </c>
      <c r="D7" s="33" t="inlineStr">
        <is>
          <t>62shell_saved-model.h5 (Zenodo 10728089, 885 MB)</t>
        </is>
      </c>
      <c r="E7" s="33" t="inlineStr">
        <is>
          <t>TensorFlow CPU</t>
        </is>
      </c>
      <c r="F7" s="34" t="inlineStr">
        <is>
          <t>Sí</t>
        </is>
      </c>
      <c r="G7" s="34" t="inlineStr">
        <is>
          <t>Sí</t>
        </is>
      </c>
      <c r="H7" s="37" t="n"/>
      <c r="I7" s="37" t="n">
        <v>0.864</v>
      </c>
      <c r="J7" s="38">
        <f>IF(AND(ISNUMBER(H7),ISNUMBER(I7)),H7-I7,"")</f>
        <v/>
      </c>
      <c r="K7" s="34"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34" t="inlineStr">
        <is>
          <t>onionnet2</t>
        </is>
      </c>
      <c r="M7" s="34" t="inlineStr">
        <is>
          <t>demo_onionnet2.bat</t>
        </is>
      </c>
      <c r="N7" s="34" t="inlineStr">
        <is>
          <t>combilab/onionnet2:1.0</t>
        </is>
      </c>
      <c r="O7" s="34" t="inlineStr">
        <is>
          <t>docker_onionnet2.bat</t>
        </is>
      </c>
      <c r="P7" s="34" t="inlineStr">
        <is>
          <t>docker_onionnet2.sh</t>
        </is>
      </c>
      <c r="Q7" s="37" t="inlineStr">
        <is>
          <t>Pendiente</t>
        </is>
      </c>
      <c r="R7" s="37" t="inlineStr">
        <is>
          <t>Pendiente</t>
        </is>
      </c>
      <c r="S7" s="33" t="inlineStr">
        <is>
          <t>1</t>
        </is>
      </c>
    </row>
    <row r="8" ht="15" customHeight="1" s="22">
      <c r="A8" s="33" t="n">
        <v>1</v>
      </c>
      <c r="B8" s="33" t="n">
        <v>4</v>
      </c>
      <c r="C8" s="33" t="inlineStr">
        <is>
          <t>SFCNN</t>
        </is>
      </c>
      <c r="D8" s="33" t="inlineStr">
        <is>
          <t>weights_22_112-0.0083.h5 (en el repo, 5.5 MB)</t>
        </is>
      </c>
      <c r="E8" s="33" t="inlineStr">
        <is>
          <t>TensorFlow 2.3 CPU + Open Babel 3.1</t>
        </is>
      </c>
      <c r="F8" s="34" t="inlineStr">
        <is>
          <t>Sí</t>
        </is>
      </c>
      <c r="G8" s="34" t="inlineStr">
        <is>
          <t>Sí</t>
        </is>
      </c>
      <c r="H8" s="37" t="n"/>
      <c r="I8" s="37" t="n">
        <v>0.793</v>
      </c>
      <c r="J8" s="38">
        <f>IF(AND(ISNUMBER(H8),ISNUMBER(I8)),H8-I8,"")</f>
        <v/>
      </c>
      <c r="K8" s="34" t="inlineStr">
        <is>
          <t>19/10/2026: test 1a30 PASS: pKd 5.4721 idéntico a Sfcnn_2016_test.csv de los autores y 74 poses de docking iguales a test/output2 (dif. máx 0.0007). build_model() carga los pesos desde la carpeta actual. Eaves et al. reproducen PCC 0.789. Plugin: plugins/sfcnn</t>
        </is>
      </c>
      <c r="L8" s="34" t="inlineStr">
        <is>
          <t>sfcnn</t>
        </is>
      </c>
      <c r="M8" s="34" t="inlineStr">
        <is>
          <t>demo_sfcnn.bat</t>
        </is>
      </c>
      <c r="N8" s="34" t="inlineStr">
        <is>
          <t>combilab/sfcnn:1.0</t>
        </is>
      </c>
      <c r="O8" s="34" t="inlineStr">
        <is>
          <t>docker_sfcnn.bat</t>
        </is>
      </c>
      <c r="P8" s="34" t="inlineStr">
        <is>
          <t>docker_sfcnn.sh</t>
        </is>
      </c>
      <c r="Q8" s="37" t="inlineStr">
        <is>
          <t>Pendiente</t>
        </is>
      </c>
      <c r="R8" s="37" t="inlineStr">
        <is>
          <t>Pendiente</t>
        </is>
      </c>
      <c r="S8" s="33" t="inlineStr">
        <is>
          <t>1</t>
        </is>
      </c>
    </row>
    <row r="9" ht="15" customHeight="1" s="22">
      <c r="A9" s="33" t="n">
        <v>1</v>
      </c>
      <c r="B9" s="33" t="n">
        <v>5</v>
      </c>
      <c r="C9" s="33" t="inlineStr">
        <is>
          <t>PLANET</t>
        </is>
      </c>
      <c r="D9" s="33" t="inlineStr">
        <is>
          <t>PLANET.param (en el repo, 18.5 MB) + core.tar.bz2 (core set preparado por los autores)</t>
        </is>
      </c>
      <c r="E9" s="33" t="inlineStr">
        <is>
          <t>PyTorch 2.2 + RDKit 2023.9 (Python 3.11)</t>
        </is>
      </c>
      <c r="F9" s="34" t="inlineStr">
        <is>
          <t>Sí</t>
        </is>
      </c>
      <c r="G9" s="34" t="inlineStr">
        <is>
          <t>Sí</t>
        </is>
      </c>
      <c r="H9" s="37" t="n"/>
      <c r="I9" s="37" t="n">
        <v>0.824</v>
      </c>
      <c r="J9" s="38">
        <f>IF(AND(ISNUMBER(H9),ISNUMBER(I9)),H9-I9,"")</f>
        <v/>
      </c>
      <c r="K9" s="34" t="inlineStr">
        <is>
          <t>19/10/2026: test 1a30 PASS (5.8930 con core.tar.bz2 de los autores; 5.6216 con CASF .mol2). El .sdf de CASF de 1a30 no lo lee RDKit: usar core.tar.bz2 de los autores. demo/result.csv es de 2022 (modelo viejo), no sirve de referencia. Plugin: plugins/planet</t>
        </is>
      </c>
      <c r="L9" s="34" t="inlineStr">
        <is>
          <t>planet</t>
        </is>
      </c>
      <c r="M9" s="34" t="inlineStr">
        <is>
          <t>demo_planet.bat</t>
        </is>
      </c>
      <c r="N9" s="34" t="inlineStr">
        <is>
          <t>combilab/planet:1.0</t>
        </is>
      </c>
      <c r="O9" s="34" t="inlineStr">
        <is>
          <t>docker_planet.bat</t>
        </is>
      </c>
      <c r="P9" s="34" t="inlineStr">
        <is>
          <t>docker_planet.sh</t>
        </is>
      </c>
      <c r="Q9" s="37" t="inlineStr">
        <is>
          <t>Pendiente</t>
        </is>
      </c>
      <c r="R9" s="37" t="inlineStr">
        <is>
          <t>Pendiente</t>
        </is>
      </c>
      <c r="S9" s="33" t="inlineStr">
        <is>
          <t>1</t>
        </is>
      </c>
    </row>
    <row r="10" ht="15" customHeight="1" s="22">
      <c r="A10" s="33" t="n">
        <v>1</v>
      </c>
      <c r="B10" s="33" t="n">
        <v>6</v>
      </c>
      <c r="C10" s="33" t="inlineStr">
        <is>
          <t>egGNN</t>
        </is>
      </c>
      <c r="D10" s="33" t="inlineStr">
        <is>
          <t>16-8596.sav (en el repo, 11.7 MB; usado por el pipeline de los autores)</t>
        </is>
      </c>
      <c r="E10" s="33" t="inlineStr">
        <is>
          <t>PyTorch 2.2 + DGL 2.2.1 + dgllife 0.3.2 + RDKit (Python 3.10)</t>
        </is>
      </c>
      <c r="F10" s="34" t="inlineStr">
        <is>
          <t>Sí</t>
        </is>
      </c>
      <c r="G10" s="34" t="inlineStr">
        <is>
          <t>Sí</t>
        </is>
      </c>
      <c r="H10" s="37" t="n"/>
      <c r="I10" s="37" t="n">
        <v>0.86</v>
      </c>
      <c r="J10" s="38">
        <f>IF(AND(ISNUMBER(H10),ISNUMBER(I10)),H10-I10,"")</f>
        <v/>
      </c>
      <c r="K10" s="34"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34" t="inlineStr">
        <is>
          <t>eggnn</t>
        </is>
      </c>
      <c r="M10" s="34" t="inlineStr">
        <is>
          <t>demo_eggnn.bat</t>
        </is>
      </c>
      <c r="N10" s="34" t="inlineStr">
        <is>
          <t>combilab/eggnn:1.0</t>
        </is>
      </c>
      <c r="O10" s="34" t="inlineStr">
        <is>
          <t>docker_eggnn.bat</t>
        </is>
      </c>
      <c r="P10" s="34" t="inlineStr">
        <is>
          <t>docker_eggnn.sh</t>
        </is>
      </c>
      <c r="Q10" s="37" t="inlineStr">
        <is>
          <t>Pendiente</t>
        </is>
      </c>
      <c r="R10" s="37" t="inlineStr">
        <is>
          <t>Pendiente</t>
        </is>
      </c>
      <c r="S10" s="33" t="inlineStr">
        <is>
          <t>1</t>
        </is>
      </c>
    </row>
    <row r="11" ht="15" customHeight="1" s="22">
      <c r="A11" s="33" t="n">
        <v>1</v>
      </c>
      <c r="B11" s="33" t="n">
        <v>7</v>
      </c>
      <c r="C11" s="33" t="inlineStr">
        <is>
          <t>GIGN</t>
        </is>
      </c>
      <c r="D11" s="33" t="inlineStr">
        <is>
          <t>3 modelos en el repo (repeat0-2, .pt)</t>
        </is>
      </c>
      <c r="E11" s="33" t="inlineStr">
        <is>
          <t>PyTorch 2.2 + PyG 2.5.3 + RDKit + PyMOL + Open Babel (entorno gign, Python 3.10)</t>
        </is>
      </c>
      <c r="F11" s="34" t="inlineStr">
        <is>
          <t>Sí</t>
        </is>
      </c>
      <c r="G11" s="34" t="inlineStr">
        <is>
          <t>Sí</t>
        </is>
      </c>
      <c r="H11" s="37" t="n"/>
      <c r="I11" s="37" t="n">
        <v>0.84</v>
      </c>
      <c r="J11" s="38">
        <f>IF(AND(ISNUMBER(H11),ISNUMBER(I11)),H11-I11,"")</f>
        <v/>
      </c>
      <c r="K11" s="34"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34" t="inlineStr">
        <is>
          <t>gign</t>
        </is>
      </c>
      <c r="M11" s="34" t="inlineStr">
        <is>
          <t>demo_gign.bat</t>
        </is>
      </c>
      <c r="N11" s="34" t="inlineStr">
        <is>
          <t>combilab/gign:1.0</t>
        </is>
      </c>
      <c r="O11" s="34" t="inlineStr">
        <is>
          <t>docker_gign.bat</t>
        </is>
      </c>
      <c r="P11" s="34" t="inlineStr">
        <is>
          <t>docker_gign.sh</t>
        </is>
      </c>
      <c r="Q11" s="37" t="inlineStr">
        <is>
          <t>Pendiente</t>
        </is>
      </c>
      <c r="R11" s="37" t="inlineStr">
        <is>
          <t>Pendiente</t>
        </is>
      </c>
      <c r="S11" s="33" t="inlineStr">
        <is>
          <t>1</t>
        </is>
      </c>
    </row>
    <row r="12" ht="15" customHeight="1" s="22">
      <c r="A12" s="33" t="n">
        <v>1</v>
      </c>
      <c r="B12" s="33" t="n">
        <v>8</v>
      </c>
      <c r="C12" s="33" t="inlineStr">
        <is>
          <t>EHIGN-PLA</t>
        </is>
      </c>
      <c r="D12" s="33" t="inlineStr">
        <is>
          <t>3 modelos en el repo (repeat0-2, .pt)</t>
        </is>
      </c>
      <c r="E12" s="33" t="inlineStr">
        <is>
          <t>PyTorch 2.2 + DGL 2.2.1 + RDKit + PyMOL + Open Babel (mismo entorno gign que GIGN)</t>
        </is>
      </c>
      <c r="F12" s="34" t="inlineStr">
        <is>
          <t>Sí</t>
        </is>
      </c>
      <c r="G12" s="34" t="inlineStr">
        <is>
          <t>Sí</t>
        </is>
      </c>
      <c r="H12" s="37" t="n"/>
      <c r="I12" s="37" t="n">
        <v>0.854</v>
      </c>
      <c r="J12" s="38">
        <f>IF(AND(ISNUMBER(H12),ISNUMBER(I12)),H12-I12,"")</f>
        <v/>
      </c>
      <c r="K12" s="34"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34" t="inlineStr">
        <is>
          <t>ehign_pla</t>
        </is>
      </c>
      <c r="M12" s="34" t="inlineStr">
        <is>
          <t>demo_ehign_pla.bat</t>
        </is>
      </c>
      <c r="N12" s="34" t="inlineStr">
        <is>
          <t>combilab/ehign_pla:1.0</t>
        </is>
      </c>
      <c r="O12" s="34" t="inlineStr">
        <is>
          <t>docker_ehign_pla.bat</t>
        </is>
      </c>
      <c r="P12" s="34" t="inlineStr">
        <is>
          <t>docker_ehign_pla.sh</t>
        </is>
      </c>
      <c r="Q12" s="37" t="inlineStr">
        <is>
          <t>Pendiente</t>
        </is>
      </c>
      <c r="R12" s="37" t="inlineStr">
        <is>
          <t>Pendiente</t>
        </is>
      </c>
      <c r="S12" s="33" t="inlineStr">
        <is>
          <t>1</t>
        </is>
      </c>
    </row>
    <row r="13" ht="15" customHeight="1" s="22">
      <c r="A13" s="33" t="n">
        <v>1</v>
      </c>
      <c r="B13" s="33" t="n">
        <v>9</v>
      </c>
      <c r="C13" s="33" t="inlineStr">
        <is>
          <t>saCNN</t>
        </is>
      </c>
      <c r="D13" s="33" t="inlineStr">
        <is>
          <t>model.pkl (en el repo, 18.2 MB)</t>
        </is>
      </c>
      <c r="E13" s="33" t="inlineStr">
        <is>
          <t>PyTorch 2.5 CPU + moleculekit 1.11.5 + pdb2pqr/propka (Python 3.10); sin HTMD</t>
        </is>
      </c>
      <c r="F13" s="34" t="inlineStr">
        <is>
          <t>Sí</t>
        </is>
      </c>
      <c r="G13" s="34" t="inlineStr">
        <is>
          <t>Sí</t>
        </is>
      </c>
      <c r="H13" s="37" t="n"/>
      <c r="I13" s="37" t="n">
        <v>0.865</v>
      </c>
      <c r="J13" s="38">
        <f>IF(AND(ISNUMBER(H13),ISNUMBER(I13)),H13-I13,"")</f>
        <v/>
      </c>
      <c r="K13" s="34"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34" t="inlineStr">
        <is>
          <t>sacnn</t>
        </is>
      </c>
      <c r="M13" s="34" t="inlineStr">
        <is>
          <t>demo_sacnn.bat</t>
        </is>
      </c>
      <c r="N13" s="34" t="inlineStr">
        <is>
          <t>combilab/sacnn:1.0</t>
        </is>
      </c>
      <c r="O13" s="34" t="inlineStr">
        <is>
          <t>docker_sacnn.bat</t>
        </is>
      </c>
      <c r="P13" s="34" t="inlineStr">
        <is>
          <t>docker_sacnn.sh</t>
        </is>
      </c>
      <c r="Q13" s="37" t="inlineStr">
        <is>
          <t>Pendiente</t>
        </is>
      </c>
      <c r="R13" s="37" t="inlineStr">
        <is>
          <t>Pendiente</t>
        </is>
      </c>
      <c r="S13" s="33" t="inlineStr">
        <is>
          <t>1</t>
        </is>
      </c>
    </row>
    <row r="14" ht="15" customHeight="1" s="22">
      <c r="A14" s="33" t="n">
        <v>1</v>
      </c>
      <c r="B14" s="33" t="n">
        <v>10</v>
      </c>
      <c r="C14" s="33" t="inlineStr">
        <is>
          <t>DEAttentionDTA</t>
        </is>
      </c>
      <c r="D14" s="33" t="inlineStr">
        <is>
          <t>10 modelos Fold 1–10 (en el repo, 89 MB; se promedian)</t>
        </is>
      </c>
      <c r="E14" s="33" t="inlineStr">
        <is>
          <t>PyTorch 2.2 + Open Babel 3.1.1 (Python 3.10)</t>
        </is>
      </c>
      <c r="F14" s="34" t="inlineStr">
        <is>
          <t>Sí</t>
        </is>
      </c>
      <c r="G14" s="34" t="inlineStr">
        <is>
          <t>Sí</t>
        </is>
      </c>
      <c r="H14" s="37" t="n"/>
      <c r="I14" s="37" t="n">
        <v>0.845</v>
      </c>
      <c r="J14" s="38">
        <f>IF(AND(ISNUMBER(H14),ISNUMBER(I14)),H14-I14,"")</f>
        <v/>
      </c>
      <c r="K14" s="34"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34" t="inlineStr">
        <is>
          <t>deattentiondta</t>
        </is>
      </c>
      <c r="M14" s="34" t="inlineStr">
        <is>
          <t>demo_deattentiondta.bat</t>
        </is>
      </c>
      <c r="N14" s="34" t="inlineStr">
        <is>
          <t>combilab/deattentiondta:1.0</t>
        </is>
      </c>
      <c r="O14" s="34" t="inlineStr">
        <is>
          <t>docker_deattentiondta.bat</t>
        </is>
      </c>
      <c r="P14" s="34" t="inlineStr">
        <is>
          <t>docker_deattentiondta.sh</t>
        </is>
      </c>
      <c r="Q14" s="37" t="inlineStr">
        <is>
          <t>Pendiente</t>
        </is>
      </c>
      <c r="R14" s="37" t="inlineStr">
        <is>
          <t>Pendiente</t>
        </is>
      </c>
      <c r="S14" s="33" t="inlineStr">
        <is>
          <t>1</t>
        </is>
      </c>
    </row>
    <row r="15" ht="15" customHeight="1" s="22">
      <c r="A15" s="33" t="n">
        <v>1</v>
      </c>
      <c r="B15" s="33" t="n">
        <v>11</v>
      </c>
      <c r="C15" s="33" t="inlineStr">
        <is>
          <t>RFL-Score</t>
        </is>
      </c>
      <c r="D15" s="33" t="inlineStr">
        <is>
          <t>scoring/RScript/model/scoring_function_160.rda en el repo (Random Forest de R, 160 features; MD5 d1ad344e…)</t>
        </is>
      </c>
      <c r="E15" s="33" t="inlineStr">
        <is>
          <t>R + randomForest (test Windows conda). Pipeline completo de features (solo Linux → Docker): Open Babel 2.4.1, PaDEL (Java 11), DSSP, MGLTools 1.5.7, vina4dv, ODDT 0.7, RDKit 2020.09 (Python 3.7)</t>
        </is>
      </c>
      <c r="F15" s="34" t="inlineStr">
        <is>
          <t>Sí</t>
        </is>
      </c>
      <c r="G15" s="34" t="inlineStr">
        <is>
          <t>Sí</t>
        </is>
      </c>
      <c r="H15" s="37" t="n"/>
      <c r="I15" s="37" t="n"/>
      <c r="J15" s="38">
        <f>IF(AND(ISNUMBER(H15),ISNUMBER(I15)),H15-I15,"")</f>
        <v/>
      </c>
      <c r="K15" s="34"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34" t="inlineStr">
        <is>
          <t>rfl_score</t>
        </is>
      </c>
      <c r="M15" s="34" t="inlineStr">
        <is>
          <t>demo_rfl_score.bat (solo modelo)</t>
        </is>
      </c>
      <c r="N15" s="34" t="inlineStr">
        <is>
          <t>combilab/rfl_score:1.1</t>
        </is>
      </c>
      <c r="O15" s="34" t="inlineStr">
        <is>
          <t>docker_rfl_score.bat</t>
        </is>
      </c>
      <c r="P15" s="34" t="inlineStr">
        <is>
          <t>docker_rfl_score.sh</t>
        </is>
      </c>
      <c r="Q15" s="37" t="inlineStr">
        <is>
          <t>PASS</t>
        </is>
      </c>
      <c r="R15" s="37" t="inlineStr">
        <is>
          <t>Pendiente</t>
        </is>
      </c>
      <c r="S15" s="33" t="inlineStr">
        <is>
          <t>1</t>
        </is>
      </c>
    </row>
    <row r="16" ht="15" customHeight="1" s="22">
      <c r="A16" s="33" t="n">
        <v>2</v>
      </c>
      <c r="B16" s="33" t="n">
        <v>1</v>
      </c>
      <c r="C16" s="33" t="inlineStr">
        <is>
          <t>DeepBindGCN</t>
        </is>
      </c>
      <c r="D16" s="33" t="inlineStr">
        <is>
          <t>GitHub release v1.0.0: full_model_out2000_RG.model (MD5 aaa69454…)</t>
        </is>
      </c>
      <c r="E16" s="33" t="inlineStr">
        <is>
          <t>PyTorch 2.2 + PyG 2.5.3 + RDKit (Python 3.10)</t>
        </is>
      </c>
      <c r="F16" s="34" t="inlineStr">
        <is>
          <t>Sí</t>
        </is>
      </c>
      <c r="G16" s="34" t="inlineStr">
        <is>
          <t>Sí</t>
        </is>
      </c>
      <c r="H16" s="37" t="n"/>
      <c r="I16" s="37" t="n">
        <v>0.75</v>
      </c>
      <c r="J16" s="38">
        <f>IF(AND(ISNUMBER(H16),ISNUMBER(I16)),H16-I16,"")</f>
        <v/>
      </c>
      <c r="K16" s="34"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34" t="inlineStr">
        <is>
          <t>deepbindgcn</t>
        </is>
      </c>
      <c r="M16" s="34" t="inlineStr">
        <is>
          <t>demo_deepbindgcn.bat</t>
        </is>
      </c>
      <c r="N16" s="34" t="inlineStr">
        <is>
          <t>combilab/deepbindgcn:1.0</t>
        </is>
      </c>
      <c r="O16" s="34" t="inlineStr">
        <is>
          <t>docker_deepbindgcn.bat</t>
        </is>
      </c>
      <c r="P16" s="34" t="inlineStr">
        <is>
          <t>docker_deepbindgcn.sh</t>
        </is>
      </c>
      <c r="Q16" s="37" t="inlineStr">
        <is>
          <t>Pendiente</t>
        </is>
      </c>
      <c r="R16" s="37" t="inlineStr">
        <is>
          <t>Pendiente</t>
        </is>
      </c>
      <c r="S16" s="33" t="inlineStr">
        <is>
          <t>1</t>
        </is>
      </c>
    </row>
    <row r="17" ht="15" customHeight="1" s="22">
      <c r="A17" s="33" t="n">
        <v>2</v>
      </c>
      <c r="B17" s="33" t="n">
        <v>2</v>
      </c>
      <c r="C17" s="33" t="inlineStr">
        <is>
          <t>HAC-Net</t>
        </is>
      </c>
      <c r="D17" s="33" t="inlineStr">
        <is>
          <t>HACNet/parameter_files en el repo (4 .pt) + paquete PyPI HACNet 1.4.3</t>
        </is>
      </c>
      <c r="E17" s="33" t="inlineStr">
        <is>
          <t>PyTorch 2.2 + PyG 2.5.3 + Open Babel + PyMOL; cargas EqEq: servicio web ACC2 o ChargeFW2 local (Docker)</t>
        </is>
      </c>
      <c r="F17" s="34" t="inlineStr">
        <is>
          <t>Sí</t>
        </is>
      </c>
      <c r="G17" s="34" t="inlineStr">
        <is>
          <t>Sí</t>
        </is>
      </c>
      <c r="H17" s="37" t="n"/>
      <c r="I17" s="37" t="n">
        <v>0.846</v>
      </c>
      <c r="J17" s="38">
        <f>IF(AND(ISNUMBER(H17),ISNUMBER(I17)),H17-I17,"")</f>
        <v/>
      </c>
      <c r="K17" s="34"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34" t="inlineStr">
        <is>
          <t>hacnet</t>
        </is>
      </c>
      <c r="M17" s="34" t="inlineStr">
        <is>
          <t>demo_hacnet.bat</t>
        </is>
      </c>
      <c r="N17" s="34" t="inlineStr">
        <is>
          <t>combilab/hacnet:1.0</t>
        </is>
      </c>
      <c r="O17" s="34" t="inlineStr">
        <is>
          <t>docker_hacnet.bat</t>
        </is>
      </c>
      <c r="P17" s="34" t="inlineStr">
        <is>
          <t>docker_hacnet.sh</t>
        </is>
      </c>
      <c r="Q17" s="37" t="inlineStr">
        <is>
          <t>Pendiente</t>
        </is>
      </c>
      <c r="R17" s="37" t="inlineStr">
        <is>
          <t>PASS</t>
        </is>
      </c>
      <c r="S17" s="33" t="inlineStr">
        <is>
          <t>1</t>
        </is>
      </c>
    </row>
    <row r="18" ht="15" customHeight="1" s="22">
      <c r="A18" s="33" t="n">
        <v>2</v>
      </c>
      <c r="B18" s="33" t="n">
        <v>3</v>
      </c>
      <c r="C18" s="33" t="inlineStr">
        <is>
          <t>delta_LinF9_XGB</t>
        </is>
      </c>
      <c r="D18" s="33" t="inlineStr">
        <is>
          <t>saved_model/mod_1..10.pickle.dat en el repo (xgboost 1.2.0)</t>
        </is>
      </c>
      <c r="E18" s="33" t="inlineStr">
        <is>
          <t>Solo Linux: smina (repo), MSMS, MGLTools 1.5.7 (Python 2), AlphaSpace2, xgboost 1.2.0 → en Windows vía Docker/WSL</t>
        </is>
      </c>
      <c r="F18" s="34" t="inlineStr">
        <is>
          <t>Sí</t>
        </is>
      </c>
      <c r="G18" s="34" t="inlineStr">
        <is>
          <t>Sí</t>
        </is>
      </c>
      <c r="H18" s="37" t="n"/>
      <c r="I18" s="37" t="n">
        <v>0.845</v>
      </c>
      <c r="J18" s="38">
        <f>IF(AND(ISNUMBER(H18),ISNUMBER(I18)),H18-I18,"")</f>
        <v/>
      </c>
      <c r="K18" s="34"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34" t="inlineStr">
        <is>
          <t>delta_linf9_xgb</t>
        </is>
      </c>
      <c r="M18" s="34" t="inlineStr">
        <is>
          <t>no (solo Linux) → usar Docker</t>
        </is>
      </c>
      <c r="N18" s="34" t="inlineStr">
        <is>
          <t>combilab/delta_linf9_xgb:1.0</t>
        </is>
      </c>
      <c r="O18" s="34" t="inlineStr">
        <is>
          <t>docker_delta_linf9_xgb.bat</t>
        </is>
      </c>
      <c r="P18" s="34" t="inlineStr">
        <is>
          <t>docker_delta_linf9_xgb.sh</t>
        </is>
      </c>
      <c r="Q18" s="37" t="inlineStr">
        <is>
          <t>PASS</t>
        </is>
      </c>
      <c r="R18" s="37" t="inlineStr">
        <is>
          <t>—</t>
        </is>
      </c>
      <c r="S18" s="33" t="inlineStr">
        <is>
          <t>1</t>
        </is>
      </c>
    </row>
    <row r="19" ht="15" customHeight="1" s="22">
      <c r="A19" s="33" t="n">
        <v>2</v>
      </c>
      <c r="B19" s="33" t="n">
        <v>4</v>
      </c>
      <c r="C19" s="33" t="inlineStr">
        <is>
          <t>GraphscoreDTA</t>
        </is>
      </c>
      <c r="D19" s="33" t="inlineStr">
        <is>
          <t>model/modelp.pth en el repo + grafos CASF-2016 preparados (release Data, 35 MB)</t>
        </is>
      </c>
      <c r="E19" s="33" t="inlineStr">
        <is>
          <t>PyTorch 2.2 + DGL 2.2.1 (Python 3.10)</t>
        </is>
      </c>
      <c r="F19" s="34" t="inlineStr">
        <is>
          <t>Sí</t>
        </is>
      </c>
      <c r="G19" s="34" t="inlineStr">
        <is>
          <t>Sí</t>
        </is>
      </c>
      <c r="H19" s="37" t="n"/>
      <c r="I19" s="37" t="n">
        <v>0.831</v>
      </c>
      <c r="J19" s="38">
        <f>IF(AND(ISNUMBER(H19),ISNUMBER(I19)),H19-I19,"")</f>
        <v/>
      </c>
      <c r="K19" s="34"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34" t="inlineStr">
        <is>
          <t>graphscoredta</t>
        </is>
      </c>
      <c r="M19" s="34" t="inlineStr">
        <is>
          <t>demo_graphscoredta.bat</t>
        </is>
      </c>
      <c r="N19" s="34" t="inlineStr">
        <is>
          <t>combilab/graphscoredta:1.0</t>
        </is>
      </c>
      <c r="O19" s="34" t="inlineStr">
        <is>
          <t>docker_graphscoredta.bat</t>
        </is>
      </c>
      <c r="P19" s="34" t="inlineStr">
        <is>
          <t>docker_graphscoredta.sh</t>
        </is>
      </c>
      <c r="Q19" s="37" t="inlineStr">
        <is>
          <t>Pendiente</t>
        </is>
      </c>
      <c r="R19" s="37" t="inlineStr">
        <is>
          <t>Pendiente</t>
        </is>
      </c>
      <c r="S19" s="33" t="inlineStr">
        <is>
          <t>1</t>
        </is>
      </c>
    </row>
    <row r="20" ht="15" customHeight="1" s="22">
      <c r="A20" s="33" t="n">
        <v>2</v>
      </c>
      <c r="B20" s="33" t="n">
        <v>5</v>
      </c>
      <c r="C20" s="33" t="inlineStr">
        <is>
          <t>IGModel</t>
        </is>
      </c>
      <c r="D20" s="33" t="inlineStr">
        <is>
          <t>models/saved_model.pth y self-ref_model.pth en el repo</t>
        </is>
      </c>
      <c r="E20" s="33" t="inlineStr">
        <is>
          <t>PyTorch 2.2 + DGL 2.2.1 + RDKit + Open Babel 3.1.1 + spyrmsd (Python 3.10)</t>
        </is>
      </c>
      <c r="F20" s="34" t="inlineStr">
        <is>
          <t>Sí</t>
        </is>
      </c>
      <c r="G20" s="34" t="inlineStr">
        <is>
          <t>Sí</t>
        </is>
      </c>
      <c r="H20" s="37" t="n"/>
      <c r="I20" s="37" t="n">
        <v>0.831</v>
      </c>
      <c r="J20" s="38">
        <f>IF(AND(ISNUMBER(H20),ISNUMBER(I20)),H20-I20,"")</f>
        <v/>
      </c>
      <c r="K20" s="34" t="inlineStr">
        <is>
          <t>21/10/2026: test PASS: reproduce el notebook de los autores (1bcu, 10 poses, dif. 3e-6); 1a30 = 5.0653 (modo referencia; self-ref 5.4664). El .sdf de 1a30 no lo lee RDKit: usar .mol2. Eaves usa modo self-ref con saved_model.pth. Plugin: plugins/igmodel</t>
        </is>
      </c>
      <c r="L20" s="34" t="inlineStr">
        <is>
          <t>igmodel</t>
        </is>
      </c>
      <c r="M20" s="34" t="inlineStr">
        <is>
          <t>demo_igmodel.bat</t>
        </is>
      </c>
      <c r="N20" s="34" t="inlineStr">
        <is>
          <t>combilab/igmodel:1.0</t>
        </is>
      </c>
      <c r="O20" s="34" t="inlineStr">
        <is>
          <t>docker_igmodel.bat</t>
        </is>
      </c>
      <c r="P20" s="34" t="inlineStr">
        <is>
          <t>docker_igmodel.sh</t>
        </is>
      </c>
      <c r="Q20" s="37" t="inlineStr">
        <is>
          <t>Pendiente</t>
        </is>
      </c>
      <c r="R20" s="37" t="inlineStr">
        <is>
          <t>Pendiente</t>
        </is>
      </c>
      <c r="S20" s="33" t="inlineStr">
        <is>
          <t>1</t>
        </is>
      </c>
    </row>
    <row r="21" ht="15" customHeight="1" s="22">
      <c r="A21" s="33" t="n">
        <v>2</v>
      </c>
      <c r="B21" s="33" t="n">
        <v>6</v>
      </c>
      <c r="C21" s="33" t="inlineStr">
        <is>
          <t>ConBAP</t>
        </is>
      </c>
      <c r="D21" s="33" t="inlineStr">
        <is>
          <t>modelo contrastivo + cabeza de afinidad repeat0 en el repo</t>
        </is>
      </c>
      <c r="E21" s="33" t="inlineStr">
        <is>
          <t>PyTorch 2.2 + PyG 2.5.3 + torch_scatter/cluster + GVP-GNN + RDKit + PyMOL (Python 3.10)</t>
        </is>
      </c>
      <c r="F21" s="34" t="inlineStr">
        <is>
          <t>Sí</t>
        </is>
      </c>
      <c r="G21" s="34" t="inlineStr">
        <is>
          <t>Sí</t>
        </is>
      </c>
      <c r="H21" s="37" t="n"/>
      <c r="I21" s="37" t="n">
        <v>0.864</v>
      </c>
      <c r="J21" s="38">
        <f>IF(AND(ISNUMBER(H21),ISNUMBER(I21)),H21-I21,"")</f>
        <v/>
      </c>
      <c r="K21" s="34"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34" t="inlineStr">
        <is>
          <t>conbap</t>
        </is>
      </c>
      <c r="M21" s="34" t="inlineStr">
        <is>
          <t>demo_conbap.bat</t>
        </is>
      </c>
      <c r="N21" s="34" t="inlineStr">
        <is>
          <t>combilab/conbap:1.0</t>
        </is>
      </c>
      <c r="O21" s="34" t="inlineStr">
        <is>
          <t>docker_conbap.bat</t>
        </is>
      </c>
      <c r="P21" s="34" t="inlineStr">
        <is>
          <t>docker_conbap.sh</t>
        </is>
      </c>
      <c r="Q21" s="37" t="inlineStr">
        <is>
          <t>Pendiente</t>
        </is>
      </c>
      <c r="R21" s="37" t="inlineStr">
        <is>
          <t>Pendiente</t>
        </is>
      </c>
      <c r="S21" s="33" t="inlineStr">
        <is>
          <t>1</t>
        </is>
      </c>
    </row>
    <row r="22" ht="15" customHeight="1" s="22">
      <c r="A22" s="33" t="n">
        <v>2</v>
      </c>
      <c r="B22" s="33" t="n">
        <v>7</v>
      </c>
      <c r="C22" s="33" t="inlineStr">
        <is>
          <t>CPIScore</t>
        </is>
      </c>
      <c r="D22" s="33" t="inlineStr">
        <is>
          <t>result/model.pkl (incompleto)</t>
        </is>
      </c>
      <c r="E22" s="33" t="inlineStr">
        <is>
          <t>—</t>
        </is>
      </c>
      <c r="F22" s="34" t="inlineStr">
        <is>
          <t>No</t>
        </is>
      </c>
      <c r="G22" s="34" t="inlineStr">
        <is>
          <t>No</t>
        </is>
      </c>
      <c r="H22" s="37" t="n"/>
      <c r="I22" s="37" t="n">
        <v>0.74</v>
      </c>
      <c r="J22" s="38">
        <f>IF(AND(ISNUMBER(H22),ISNUMBER(I22)),H22-I22,"")</f>
        <v/>
      </c>
      <c r="K22" s="34" t="inlineStr">
        <is>
          <t>21/10/2026: DESCARTADA. Faltan los modelos word2vec (SMILES 256d y proteína 512d) que usan sus features, y la rama Transformer se crea con pesos aleatorios en cada forward (no está en model.pkl): predicciones no reproducibles. Ver plugins/cpiscore/INSTALL.md | 23/10/2026: también figura en la Lista 2 (revisión de Transformers: repositorio sí, documentado no, ejecutado no).</t>
        </is>
      </c>
      <c r="L22" s="21" t="inlineStr">
        <is>
          <t>cpiscore</t>
        </is>
      </c>
      <c r="M22" s="21" t="inlineStr">
        <is>
          <t>—</t>
        </is>
      </c>
      <c r="N22" s="21" t="inlineStr">
        <is>
          <t>—</t>
        </is>
      </c>
      <c r="O22" s="21" t="inlineStr">
        <is>
          <t>—</t>
        </is>
      </c>
      <c r="P22" s="21" t="inlineStr">
        <is>
          <t>—</t>
        </is>
      </c>
      <c r="Q22" s="21" t="inlineStr">
        <is>
          <t>No aplica</t>
        </is>
      </c>
      <c r="R22" s="21" t="inlineStr">
        <is>
          <t>No aplica</t>
        </is>
      </c>
      <c r="S22" s="39" t="inlineStr">
        <is>
          <t>1 y 2</t>
        </is>
      </c>
    </row>
    <row r="23" ht="15" customHeight="1" s="22">
      <c r="A23" s="33" t="n">
        <v>3</v>
      </c>
      <c r="B23" s="33" t="n">
        <v>1</v>
      </c>
      <c r="C23" s="33" t="inlineStr">
        <is>
          <t>PointNet</t>
        </is>
      </c>
      <c r="D23" s="33" t="inlineStr">
        <is>
          <t>5 PointTransformer + 5 PointNet (.pth) en el repo, conjunto grande (B)</t>
        </is>
      </c>
      <c r="E23" s="33" t="inlineStr">
        <is>
          <t>PyTorch 2.2 CPU (Python 3.10) + Open Babel; programa POINTNET (solo Linux) para la nube de puntos</t>
        </is>
      </c>
      <c r="F23" s="34" t="inlineStr">
        <is>
          <t>Sí</t>
        </is>
      </c>
      <c r="G23" s="34" t="inlineStr">
        <is>
          <t>Sí</t>
        </is>
      </c>
      <c r="H23" s="37" t="n"/>
      <c r="I23" s="37" t="n">
        <v>0.859</v>
      </c>
      <c r="J23" s="38">
        <f>IF(AND(ISNUMBER(H23),ISNUMBER(I23)),H23-I23,"")</f>
        <v/>
      </c>
      <c r="K23" s="34" t="inlineStr">
        <is>
          <t>22/10/2026: test 1a30 PASS en Linux: nube 1a30 (Open Babel --AddPolarH + POINTNET) idéntica a la referencia; PointTransformer pKd 4.6973, PointNet 4.7429 (exp. 4.30); ejemplo de los autores 5c2h: 7.4829 / 7.5160. Valores propios (los autores no publican referencia). Rotaciones aleatorias con semilla fija. Paper: PCC 0.859 (PointTransformer) / 0.831 (PointNet), sin verificar. En Windows conda solo corren los modelos (POINTNET es Linux): pipeline completo con Docker</t>
        </is>
      </c>
      <c r="L23" s="21" t="inlineStr">
        <is>
          <t>pointnet</t>
        </is>
      </c>
      <c r="M23" s="21" t="inlineStr">
        <is>
          <t>demo_pointnet.bat (solo modelos)</t>
        </is>
      </c>
      <c r="N23" s="21" t="inlineStr">
        <is>
          <t>combilab/pointnet:1.0</t>
        </is>
      </c>
      <c r="O23" s="21" t="inlineStr">
        <is>
          <t>docker_pointnet.bat</t>
        </is>
      </c>
      <c r="P23" s="21" t="inlineStr">
        <is>
          <t>docker_pointnet.sh</t>
        </is>
      </c>
      <c r="Q23" s="21" t="inlineStr">
        <is>
          <t>Pendiente</t>
        </is>
      </c>
      <c r="R23" s="21" t="inlineStr">
        <is>
          <t>Pendiente</t>
        </is>
      </c>
      <c r="S23" s="33" t="inlineStr">
        <is>
          <t>1</t>
        </is>
      </c>
    </row>
    <row r="24" ht="15" customHeight="1" s="22">
      <c r="A24" s="33" t="n">
        <v>3</v>
      </c>
      <c r="B24" s="33" t="n">
        <v>2</v>
      </c>
      <c r="C24" s="33" t="inlineStr">
        <is>
          <t>PIGNet2</t>
        </is>
      </c>
      <c r="D24" s="33" t="inlineStr">
        <is>
          <t>src/ckpt/pda_0..3.pt en el repo (4 modelos, se promedian)</t>
        </is>
      </c>
      <c r="E24" s="33" t="inlineStr">
        <is>
          <t>PyTorch 2.2 CPU + PyG 2.0.3 + torch_scatter/sparse + RDKit 2022.03.4 + PyMOL (Python 3.9); no necesita GPU</t>
        </is>
      </c>
      <c r="F24" s="34" t="inlineStr">
        <is>
          <t>Sí</t>
        </is>
      </c>
      <c r="G24" s="34" t="inlineStr">
        <is>
          <t>Sí</t>
        </is>
      </c>
      <c r="H24" s="37" t="n"/>
      <c r="I24" s="37" t="n">
        <v>0.747</v>
      </c>
      <c r="J24" s="38">
        <f>IF(AND(ISNUMBER(H24),ISNUMBER(I24)),H24-I24,"")</f>
        <v/>
      </c>
      <c r="K24" s="34" t="inlineStr">
        <is>
          <t>22/10/2026: test 1a30 PASS en Linux: energías -2.865/-2.897/-3.068/-2.637 kcal/mol = las de test.py de los autores con su 1a30 preparado; pKd medio 2.1077 (exp. 4.30). Nuestra preparación de 1a30 (ligando .mol2 con H + bolsillo de generate_data.extract) es idéntica a la de los autores. Con los 285 complejos preparados por los autores (Zenodo 8091220) PCC 0.7467 (paper 0.747; Eaves 0.505). 'reduce' no hace falta (el bolsillo no lleva H). PyG 2.0.3 obligatorio. Imagen Docker sin probar (sin acceso a Docker Hub desde la máquina de prueba)</t>
        </is>
      </c>
      <c r="L24" s="21" t="inlineStr">
        <is>
          <t>pignet2</t>
        </is>
      </c>
      <c r="M24" s="21" t="inlineStr">
        <is>
          <t>demo_pignet2.bat</t>
        </is>
      </c>
      <c r="N24" s="21" t="inlineStr">
        <is>
          <t>combilab/pignet2:1.0</t>
        </is>
      </c>
      <c r="O24" s="21" t="inlineStr">
        <is>
          <t>docker_pignet2.bat</t>
        </is>
      </c>
      <c r="P24" s="21" t="inlineStr">
        <is>
          <t>docker_pignet2.sh</t>
        </is>
      </c>
      <c r="Q24" s="21" t="inlineStr">
        <is>
          <t>Pendiente</t>
        </is>
      </c>
      <c r="R24" s="21" t="inlineStr">
        <is>
          <t>Pendiente</t>
        </is>
      </c>
      <c r="S24" s="33" t="inlineStr">
        <is>
          <t>1</t>
        </is>
      </c>
    </row>
    <row r="25" ht="15" customHeight="1" s="22">
      <c r="A25" s="33" t="n">
        <v>3</v>
      </c>
      <c r="B25" s="33" t="n">
        <v>3</v>
      </c>
      <c r="C25" s="33" t="inlineStr">
        <is>
          <t>Dynaformer</t>
        </is>
      </c>
      <c r="D25" s="33" t="n"/>
      <c r="E25" s="33" t="inlineStr">
        <is>
          <t>GPU</t>
        </is>
      </c>
      <c r="F25" s="34" t="n"/>
      <c r="G25" s="34" t="n"/>
      <c r="H25" s="37" t="n"/>
      <c r="I25" s="37" t="n"/>
      <c r="J25" s="38">
        <f>IF(AND(ISNUMBER(H25),ISNUMBER(I25)),H25-I25,"")</f>
        <v/>
      </c>
      <c r="K25" s="34" t="inlineStr">
        <is>
          <t>22/10/2026: checkpoints model1-3.pt solo en OneDrive (link en checkpoint/README.md), no accesible desde las máquinas de prueba. Falta descargarlos a mano. Basado en fairseq/Graphormer (solo Linux -&gt; Docker); además trae predicciones de los autores en CASF-2016 para comparar</t>
        </is>
      </c>
      <c r="Q25" s="21" t="n"/>
      <c r="R25" s="21" t="n"/>
      <c r="S25" s="33" t="inlineStr">
        <is>
          <t>1</t>
        </is>
      </c>
    </row>
    <row r="26" ht="15" customHeight="1" s="22">
      <c r="A26" s="33" t="n">
        <v>3</v>
      </c>
      <c r="B26" s="33" t="n">
        <v>4</v>
      </c>
      <c r="C26" s="33" t="inlineStr">
        <is>
          <t>TopoFormer</t>
        </is>
      </c>
      <c r="D26" s="33" t="n"/>
      <c r="E26" s="33" t="inlineStr">
        <is>
          <t>GPU / descargas grandes</t>
        </is>
      </c>
      <c r="F26" s="34" t="n"/>
      <c r="G26" s="34" t="n"/>
      <c r="H26" s="37" t="n"/>
      <c r="I26" s="37" t="n"/>
      <c r="J26" s="38">
        <f>IF(AND(ISNUMBER(H26),ISNUMBER(I26)),H26-I26,"")</f>
        <v/>
      </c>
      <c r="K26" s="34" t="inlineStr">
        <is>
          <t>22/10/2026: los 3 modelos fine-tuned para CASF-2016 (finetuned_casf2016_3models.tar.gz) y los pre-entrenados están solo en weilab.math.msu.edu, que no es accesible desde las máquinas de prueba (Zenodo 10892800 solo tiene el código). Falta descargarlos a mano o habilitar el dominio. PyTorch + transformers; features PTHL propias</t>
        </is>
      </c>
      <c r="Q26" s="21" t="n"/>
      <c r="R26" s="21" t="n"/>
      <c r="S26" s="33" t="inlineStr">
        <is>
          <t>1</t>
        </is>
      </c>
    </row>
    <row r="27" ht="15" customHeight="1" s="22">
      <c r="A27" s="33" t="n">
        <v>3</v>
      </c>
      <c r="B27" s="33" t="n">
        <v>5</v>
      </c>
      <c r="C27" s="33" t="inlineStr">
        <is>
          <t>BAPA</t>
        </is>
      </c>
      <c r="D27" s="33" t="inlineStr">
        <is>
          <t>module/network/BAPA_network.* en el repo (TensorFlow 1)</t>
        </is>
      </c>
      <c r="E27" s="33" t="inlineStr">
        <is>
          <t>TensorFlow 1.12 CPU + Open Babel 2.4.1 (Python 3.6) + rf-extract (RF-Score, fork lachrymator; binarios en plugins/bapa/bin)</t>
        </is>
      </c>
      <c r="F27" s="34" t="inlineStr">
        <is>
          <t>Sí</t>
        </is>
      </c>
      <c r="G27" s="34" t="inlineStr">
        <is>
          <t>Sí</t>
        </is>
      </c>
      <c r="H27" s="37" t="n"/>
      <c r="I27" s="37" t="n">
        <v>0.819</v>
      </c>
      <c r="J27" s="38">
        <f>IF(AND(ISNUMBER(H27),ISNUMBER(I27)),H27-I27,"")</f>
        <v/>
      </c>
      <c r="K27" s="34" t="inlineStr">
        <is>
          <t>22/10/2026: test PASS en Linux: el ejemplo 10gs de los autores se reproduce completo (pdbqt idénticos, términos Vina, conteo de descriptores = dataset.pkl, pKd 4.91 = result.csv). 1a30 con el protein.mol2 de CASF: pKd 5.5433 (exp. 4.30), valor propio. Open Babel 2.4.1 obligatorio (OB 3 cambia el término hidrofóbico). Los autores hacen el mol2 de la proteína con UCSF Chimera: opción --protein-mol2 chimera; por defecto se usa el mol2 de CASF. Repo original de RF-Score borrado: se usa el fork lachrymator/RF-Score (mismos valores); rf-extract.exe compilado con MinGW y probado con Wine</t>
        </is>
      </c>
      <c r="L27" s="21" t="inlineStr">
        <is>
          <t>bapa</t>
        </is>
      </c>
      <c r="M27" s="21" t="inlineStr">
        <is>
          <t>demo_bapa.bat</t>
        </is>
      </c>
      <c r="N27" s="21" t="inlineStr">
        <is>
          <t>combilab/bapa:1.0</t>
        </is>
      </c>
      <c r="O27" s="21" t="inlineStr">
        <is>
          <t>docker_bapa.bat</t>
        </is>
      </c>
      <c r="P27" s="21" t="inlineStr">
        <is>
          <t>docker_bapa.sh</t>
        </is>
      </c>
      <c r="Q27" s="21" t="inlineStr">
        <is>
          <t>Pendiente</t>
        </is>
      </c>
      <c r="R27" s="21" t="inlineStr">
        <is>
          <t>Pendiente</t>
        </is>
      </c>
      <c r="S27" s="33" t="inlineStr">
        <is>
          <t>1</t>
        </is>
      </c>
    </row>
    <row r="28" ht="15" customHeight="1" s="22">
      <c r="A28" s="33" t="n">
        <v>3</v>
      </c>
      <c r="B28" s="33" t="n">
        <v>6</v>
      </c>
      <c r="C28" s="33" t="inlineStr">
        <is>
          <t>CGraphDTA</t>
        </is>
      </c>
      <c r="D28" s="33" t="n"/>
      <c r="E28" s="33" t="inlineStr">
        <is>
          <t>Bases HHblits/BLAST</t>
        </is>
      </c>
      <c r="F28" s="34" t="n"/>
      <c r="G28" s="34" t="n"/>
      <c r="H28" s="37" t="n"/>
      <c r="I28" s="37" t="n"/>
      <c r="J28" s="38">
        <f>IF(AND(ISNUMBER(H28),ISNUMBER(I28)),H28-I28,"")</f>
        <v/>
      </c>
      <c r="K28" s="34" t="inlineStr">
        <is>
          <t>22/10/2026: modelo en el repo, pero necesita BLAST+/UniRef90, HH-suite/Uniclust30, DSSP y Mol2vec (bases de cientos de GB)</t>
        </is>
      </c>
      <c r="Q28" s="21" t="n"/>
      <c r="R28" s="21" t="n"/>
      <c r="S28" s="33" t="inlineStr">
        <is>
          <t>1</t>
        </is>
      </c>
    </row>
    <row r="29" ht="15" customHeight="1" s="22">
      <c r="A29" s="33" t="n">
        <v>3</v>
      </c>
      <c r="B29" s="33" t="n">
        <v>7</v>
      </c>
      <c r="C29" s="33" t="inlineStr">
        <is>
          <t>EGNA</t>
        </is>
      </c>
      <c r="D29" s="33" t="n"/>
      <c r="E29" s="33" t="inlineStr">
        <is>
          <t>Bases HHblits/BLAST</t>
        </is>
      </c>
      <c r="F29" s="34" t="n"/>
      <c r="G29" s="34" t="n"/>
      <c r="H29" s="37" t="n"/>
      <c r="I29" s="37" t="n"/>
      <c r="J29" s="38">
        <f>IF(AND(ISNUMBER(H29),ISNUMBER(I29)),H29-I29,"")</f>
        <v/>
      </c>
      <c r="K29" s="34" t="inlineStr">
        <is>
          <t>22/10/2026: 5 modelos en el repo; necesita HHblits + Uniclust30</t>
        </is>
      </c>
      <c r="Q29" s="21" t="n"/>
      <c r="R29" s="21" t="n"/>
      <c r="S29" s="33" t="inlineStr">
        <is>
          <t>1</t>
        </is>
      </c>
    </row>
    <row r="30" ht="15" customHeight="1" s="22">
      <c r="A30" s="33" t="n">
        <v>3</v>
      </c>
      <c r="B30" s="33" t="n">
        <v>8</v>
      </c>
      <c r="C30" s="33" t="inlineStr">
        <is>
          <t>HydraScreen</t>
        </is>
      </c>
      <c r="D30" s="33" t="inlineStr">
        <is>
          <t>API con registro</t>
        </is>
      </c>
      <c r="E30" s="33" t="n"/>
      <c r="F30" s="34" t="inlineStr">
        <is>
          <t>No</t>
        </is>
      </c>
      <c r="G30" s="34" t="inlineStr">
        <is>
          <t>No</t>
        </is>
      </c>
      <c r="H30" s="37" t="n"/>
      <c r="I30" s="37" t="n">
        <v>0.86</v>
      </c>
      <c r="J30" s="38">
        <f>IF(AND(ISNUMBER(H30),ISNUMBER(I30)),H30-I30,"")</f>
        <v/>
      </c>
      <c r="K30" s="34" t="inlineStr">
        <is>
          <t>22/10/2026: la inferencia local (paper/code_release + last_model.ckpt) NO se puede usar: el checkpoint y data_module.py dependen de paquetes privados de Ro5 (bio3d: ResMaxNet, MultiHead, TypesDataset; ro5utils) que no están publicados. Única vía: la API hydrascreen-api.ro5.ai (registro con email, sube los archivos a Ro5, uso no comercial). En espera de decisión</t>
        </is>
      </c>
      <c r="Q30" s="21" t="n"/>
      <c r="R30" s="21" t="n"/>
      <c r="S30" s="33" t="inlineStr">
        <is>
          <t>1</t>
        </is>
      </c>
    </row>
    <row r="31" ht="15" customHeight="1" s="22">
      <c r="A31" s="33" t="n">
        <v>3</v>
      </c>
      <c r="B31" s="33" t="n">
        <v>9</v>
      </c>
      <c r="C31" s="33" t="inlineStr">
        <is>
          <t>P3-Score</t>
        </is>
      </c>
      <c r="D31" s="33" t="n"/>
      <c r="E31" s="33" t="inlineStr">
        <is>
          <t>Licencia de X-Score</t>
        </is>
      </c>
      <c r="F31" s="34" t="n"/>
      <c r="G31" s="34" t="n"/>
      <c r="H31" s="37" t="n"/>
      <c r="I31" s="37" t="n"/>
      <c r="J31" s="38">
        <f>IF(AND(ISNUMBER(H31),ISNUMBER(I31)),H31-I31,"")</f>
        <v/>
      </c>
      <c r="K31" s="34" t="inlineStr">
        <is>
          <t>22/10/2026: solo P3-Score_predict.py; necesita X-Score (licencia)</t>
        </is>
      </c>
      <c r="Q31" s="21" t="n"/>
      <c r="R31" s="21" t="n"/>
      <c r="S31" s="33" t="inlineStr">
        <is>
          <t>1</t>
        </is>
      </c>
    </row>
    <row r="32" ht="15" customHeight="1" s="22">
      <c r="A32" s="39" t="n">
        <v>1</v>
      </c>
      <c r="B32" s="39" t="n">
        <v>12</v>
      </c>
      <c r="C32" s="39" t="inlineStr">
        <is>
          <t>DeepRLI</t>
        </is>
      </c>
      <c r="D32" s="33" t="inlineStr">
        <is>
          <t>trained_model.state_dict.pth (GitHub release v1.0.2, 2.4 MB, MD5 334ada64…0f29; mismo archivo en v1.0.0–v1.0.2)</t>
        </is>
      </c>
      <c r="E32" s="33" t="inlineStr">
        <is>
          <t>Windows: PyTorch 2.2.2 + DGL 2.2.1 + RDKit 2023.9.6 (Python 3.10). Docker: PyTorch 2.3.1 CPU + DGL 2.2.1 conda-forge</t>
        </is>
      </c>
      <c r="F32" s="34" t="inlineStr">
        <is>
          <t>Sí</t>
        </is>
      </c>
      <c r="G32" s="34" t="inlineStr">
        <is>
          <t>Sí</t>
        </is>
      </c>
      <c r="H32" s="37" t="n"/>
      <c r="I32" s="37" t="n"/>
      <c r="J32" s="38">
        <f>IF(AND(ISNUMBER(H32),ISNUMBER(I32)),H32-I32,"")</f>
        <v/>
      </c>
      <c r="K32" s="34" t="inlineStr">
        <is>
          <t>23/10/2026: LISTA 2. Repo github.com/fairydance/DeepRLI (documentado, ejecutado en la revisión). Usa la estructura del complejo (proteína .pdb + ligando .sdf/.mol2) → sirve para 1a30 y CASF-2016. Modelo entrenado publicado; preprocess.py + infer.heavy.py. Pendiente: confirmar que corre en CPU (environment.yml trae CUDA 11.8) y el PCC de scoring power en CASF-2016 del artículo (Digital Discovery 2025, doi 10.1039/d4dd00403e). | 23/10/2026: test 1a30 PASS en la PC del lab con Windows conda y con Docker, idénticos: ΔG −5.7279 kcal/mol → pKd 4.1986 (exp. 4.30); valor propio fijado como REF_PKD. El .sdf de 1a30 falla en RDKit (valencia) y se usa el .mol2. El scoring head predice ΔG → pKd = −ΔG/1.3643. Commit fijado 9d6e739. Plugin: plugins/deeprli</t>
        </is>
      </c>
      <c r="L32" s="21" t="inlineStr">
        <is>
          <t>deeprli</t>
        </is>
      </c>
      <c r="M32" s="21" t="inlineStr">
        <is>
          <t>demo_deeprli.bat</t>
        </is>
      </c>
      <c r="N32" s="21" t="inlineStr">
        <is>
          <t>combilab/deeprli:1.0</t>
        </is>
      </c>
      <c r="O32" s="21" t="inlineStr">
        <is>
          <t>docker_deeprli.bat</t>
        </is>
      </c>
      <c r="P32" s="21" t="inlineStr">
        <is>
          <t>docker_deeprli.sh</t>
        </is>
      </c>
      <c r="Q32" s="21" t="inlineStr">
        <is>
          <t>PASS</t>
        </is>
      </c>
      <c r="R32" s="21" t="inlineStr">
        <is>
          <t>PASS</t>
        </is>
      </c>
      <c r="S32" s="39" t="inlineStr">
        <is>
          <t>2</t>
        </is>
      </c>
    </row>
    <row r="33" ht="15" customHeight="1" s="22">
      <c r="A33" s="39" t="n">
        <v>2</v>
      </c>
      <c r="B33" s="39" t="n">
        <v>8</v>
      </c>
      <c r="C33" s="39" t="inlineStr">
        <is>
          <t>MMPD-DTA</t>
        </is>
      </c>
      <c r="D33" s="33" t="inlineStr">
        <is>
          <t>result/best/best_model.pt en el repo (4 MB, MD5 366d95cc…ce39) + test2016.pt de los autores (data.zip)</t>
        </is>
      </c>
      <c r="E33" s="33" t="inlineStr">
        <is>
          <t>PyTorch 2.2.2 + PyG 2.5.3 + RDKit 2023.09.6 (Python 3.10); Docker: PyTorch 2.3.1 CPU</t>
        </is>
      </c>
      <c r="F33" s="34" t="inlineStr">
        <is>
          <t>Sí</t>
        </is>
      </c>
      <c r="G33" s="34" t="inlineStr">
        <is>
          <t>Sí</t>
        </is>
      </c>
      <c r="H33" s="37" t="n"/>
      <c r="I33" s="37" t="n">
        <v>0.85</v>
      </c>
      <c r="J33" s="38">
        <f>IF(AND(ISNUMBER(H33),ISNUMBER(I33)),H33-I33,"")</f>
        <v/>
      </c>
      <c r="K33" s="34" t="inlineStr">
        <is>
          <t>23/10/2026: LISTA 2, SELECCIONADA en la revisión. Repo github.com/zhc-moushang/MMPD-DTA. Entradas: FASTA de la proteína + grafo del bolsillo + grafo del ligando (RDKit). PCC reportado 0.850 = CORR de test2016 en result/best/result.txt del repo. Nivel 2: como GraphscoreDTA, solo publica el set de test ya armado; no publica el script que arma los grafos de un complejo nuevo (probar el create_data.py borrado del repo DeepTGIN, mismos autores). Verificar si 1a30 está en test2016.pt. | 23/10/2026: plugin plugins/mmpd_dta listo (commit 6992636). Armado de entradas reconstruido: featurizador de create_data.py de DeepTGIN (mismo grupo, recuperado del historial git) + reglas leídas del test2016.pt de los autores (bolsillo sin aguas + ligando; aristas covalentes + bolsillo→ligando a &lt; 6.0 Å; secuencia completa de los ATOM). Para 1a30 las entradas reconstruidas son IDÉNTICAS bit a bit a las de los autores (383/26 nodos, 1367/50 aristas, 198 residuos). Test 1a30 PASS en la PC del lab con Windows conda y con Docker, idénticos: pKd 5.3879 (exp. 4.30), igual con las entradas reconstruidas y con las de los autores; valor propio fijado como REF_PKD.</t>
        </is>
      </c>
      <c r="L33" s="21" t="inlineStr">
        <is>
          <t>mmpd_dta</t>
        </is>
      </c>
      <c r="M33" s="21" t="inlineStr">
        <is>
          <t>demo_mmpd_dta.bat</t>
        </is>
      </c>
      <c r="N33" s="21" t="inlineStr">
        <is>
          <t>combilab/mmpd_dta:1.0</t>
        </is>
      </c>
      <c r="O33" s="21" t="inlineStr">
        <is>
          <t>docker_mmpd_dta.bat</t>
        </is>
      </c>
      <c r="P33" s="21" t="inlineStr">
        <is>
          <t>docker_mmpd_dta.sh</t>
        </is>
      </c>
      <c r="Q33" s="21" t="inlineStr">
        <is>
          <t>PASS</t>
        </is>
      </c>
      <c r="R33" s="21" t="inlineStr">
        <is>
          <t>PASS</t>
        </is>
      </c>
      <c r="S33" s="39" t="inlineStr">
        <is>
          <t>2</t>
        </is>
      </c>
    </row>
    <row r="34" ht="15" customHeight="1" s="22">
      <c r="A34" s="39" t="n">
        <v>2</v>
      </c>
      <c r="B34" s="39" t="n">
        <v>9</v>
      </c>
      <c r="C34" s="39" t="inlineStr">
        <is>
          <t>T-ALPHA</t>
        </is>
      </c>
      <c r="D34" s="33" t="inlineStr">
        <is>
          <t>model_parameters/CASF.ckpt (Zenodo 14510963, MD5 704f963c…) + test_files/CASF_crystal.h5 con las features de CASF-2016 ya calculadas (MD5 b853bbf8…)</t>
        </is>
      </c>
      <c r="E34" s="33" t="inlineStr">
        <is>
          <t>PyTorch 2.5.1 CPU + PyG 2.6.1 + torch_cluster + Lightning 2.4 + pykeops 2.2.3 (compila C++, solo Linux/WSL/Docker) (Python 3.11)</t>
        </is>
      </c>
      <c r="F34" s="34" t="inlineStr">
        <is>
          <t>Sí</t>
        </is>
      </c>
      <c r="G34" s="34" t="inlineStr">
        <is>
          <t>Sí</t>
        </is>
      </c>
      <c r="H34" s="37" t="n"/>
      <c r="I34" s="37" t="n">
        <v>0.869</v>
      </c>
      <c r="J34" s="38">
        <f>IF(AND(ISNUMBER(H34),ISNUMBER(I34)),H34-I34,"")</f>
        <v/>
      </c>
      <c r="K34" s="34" t="inlineStr">
        <is>
          <t>23/10/2026: LISTA 2. Repo github.com/gregory-kyro/T-ALPHA (documentado, ejecutado en la revisión). Modelo y test CASF-2016 publicados en Zenodo; scripts/inference.py. Nivel 2 por descargas grandes y modelos de lenguaje preentrenados para armar las features (pesado en CPU). Pendiente: PCC CASF-2016 del artículo (JCIM 2025, doi 10.1021/acs.jcim.4c02332). | 25/10/2026: test 1a30 PASS en Linux (pip y conda-forge): 1a30 solo 5.7758, en el lote de 32 de los autores 5.7024 (exp. 4.30). Con CASF_crystal.h5 completo y lotes de 32 se reproduce el artículo: PCC 0.869, RMSE 1.112, MAE 0.875, Spearman 0.860. Usa las features de los autores (no los PDB/mol2): armarlas desde cero requiere ESM2-3B (~11 GB RAM) y el transformer de SMILES; no incluido. CASF_crystal.h5: 289 complejos = 283 del core set (faltan 1g2k y 1sqa) + 6 extra. Las predicciones cambian levemente según el lote. Para CPU: torch.cuda.synchronize sin efecto y EGNN en "cpu" (en el wrapper, sin tocar el código de los autores). pykeops no corre en Windows: usar Docker. | 25/10/2026: test Docker 1a30 PASS en la PC del laboratorio (Windows + Docker Desktop): 5.7758 / 5.7024, idénticos a Linux.</t>
        </is>
      </c>
      <c r="L34" s="21" t="inlineStr">
        <is>
          <t>t_alpha</t>
        </is>
      </c>
      <c r="M34" s="21" t="inlineStr">
        <is>
          <t>no (solo Linux) → demo_t_alpha.bat usa Docker</t>
        </is>
      </c>
      <c r="N34" s="21" t="inlineStr">
        <is>
          <t>combilab/t_alpha:1.0</t>
        </is>
      </c>
      <c r="O34" s="21" t="inlineStr">
        <is>
          <t>docker_t_alpha.bat</t>
        </is>
      </c>
      <c r="P34" s="21" t="inlineStr">
        <is>
          <t>docker_t_alpha.sh</t>
        </is>
      </c>
      <c r="Q34" s="21" t="inlineStr">
        <is>
          <t>PASS</t>
        </is>
      </c>
      <c r="R34" s="21" t="inlineStr">
        <is>
          <t>—</t>
        </is>
      </c>
      <c r="S34" s="39" t="inlineStr">
        <is>
          <t>2</t>
        </is>
      </c>
    </row>
    <row r="35" ht="15" customHeight="1" s="22">
      <c r="A35" s="39" t="n">
        <v>2</v>
      </c>
      <c r="B35" s="39" t="n">
        <v>10</v>
      </c>
      <c r="C35" s="39" t="inlineStr">
        <is>
          <t>DTITR</t>
        </is>
      </c>
      <c r="D35" s="33" t="inlineStr">
        <is>
          <t>model/dtitr_model/ en el repo (checkpoint TF, 54 MB; MD5 69c9aca0…, a30a97cc…)</t>
        </is>
      </c>
      <c r="E35" s="33" t="inlineStr">
        <is>
          <t>TensorFlow 2.6 (Python 3.9) + subword_nmt; solo secuencia + SMILES</t>
        </is>
      </c>
      <c r="F35" s="34" t="inlineStr">
        <is>
          <t>Sí</t>
        </is>
      </c>
      <c r="G35" s="34" t="inlineStr">
        <is>
          <t>Sí</t>
        </is>
      </c>
      <c r="H35" s="37" t="n"/>
      <c r="I35" s="37" t="n"/>
      <c r="J35" s="38">
        <f>IF(AND(ISNUMBER(H35),ISNUMBER(I35)),H35-I35,"")</f>
        <v/>
      </c>
      <c r="K35" s="34" t="inlineStr">
        <is>
          <t>23/10/2026: LISTA 2. Repo github.com/larngroup/DTITR (documentado, no ejecutado en la revisión). OJO: el modelo publicado está entrenado solo con Davis (quinasas, Kd); en CASF-2016 sería fuera de dominio. No usa la estructura 3D. Evaluar si vale la pena incluirla. | 25/10/2026: test 1a30 PASS en la PC del laboratorio (Windows conda y Docker): pKd 5.0047, Davis 5 pares idénticos, codificación idéntica a la de los autores. Entrenado solo con quinasas de Davis: en CASF-2016 se esperan muchos valores ~5.0 (fuera de dominio).</t>
        </is>
      </c>
      <c r="L35" s="21" t="inlineStr">
        <is>
          <t>dtitr</t>
        </is>
      </c>
      <c r="M35" s="21" t="inlineStr">
        <is>
          <t>demo_dtitr.bat</t>
        </is>
      </c>
      <c r="N35" s="21" t="inlineStr">
        <is>
          <t>combilab/dtitr:1.0</t>
        </is>
      </c>
      <c r="O35" s="21" t="inlineStr">
        <is>
          <t>docker_dtitr.bat</t>
        </is>
      </c>
      <c r="P35" s="21" t="inlineStr">
        <is>
          <t>docker_dtitr.sh</t>
        </is>
      </c>
      <c r="Q35" s="21" t="inlineStr">
        <is>
          <t>PASS</t>
        </is>
      </c>
      <c r="R35" s="21" t="inlineStr">
        <is>
          <t>PASS</t>
        </is>
      </c>
      <c r="S35" s="39" t="inlineStr">
        <is>
          <t>2</t>
        </is>
      </c>
    </row>
    <row r="36" ht="15" customHeight="1" s="22">
      <c r="A36" s="39" t="n">
        <v>3</v>
      </c>
      <c r="B36" s="39" t="n">
        <v>10</v>
      </c>
      <c r="C36" s="39" t="inlineStr">
        <is>
          <t>DTA-GTOmega</t>
        </is>
      </c>
      <c r="D36" s="33" t="inlineStr">
        <is>
          <t>Por verificar (repo a completar con la referencia [26] de la revisión)</t>
        </is>
      </c>
      <c r="E36" s="33" t="inlineStr">
        <is>
          <t>OmegaFold (estructura de la proteína predicha, GPU) + Graph Transformers + RDKit</t>
        </is>
      </c>
      <c r="F36" s="34" t="inlineStr">
        <is>
          <t>No</t>
        </is>
      </c>
      <c r="G36" s="34" t="inlineStr">
        <is>
          <t>No</t>
        </is>
      </c>
      <c r="H36" s="37" t="n"/>
      <c r="I36" s="37" t="n"/>
      <c r="J36" s="38">
        <f>IF(AND(ISNUMBER(H36),ISNUMBER(I36)),H36-I36,"")</f>
        <v/>
      </c>
      <c r="K36" s="34" t="inlineStr">
        <is>
          <t>23/10/2026: LISTA 2, SELECCIONADA en la revisión (documentado y ejecutado). J. Mol. Biol. 2024. No encontré la URL del repo en la web: completar. Nivel 3 por OmegaFold (predice la estructura de cada proteína, pesado sin GPU). Verificar si hay modelo entrenado con PDBbind (si solo hay Davis/KIBA no sirve para CASF-2016).</t>
        </is>
      </c>
      <c r="Q36" s="21" t="inlineStr">
        <is>
          <t>Pendiente</t>
        </is>
      </c>
      <c r="R36" s="21" t="inlineStr">
        <is>
          <t>Pendiente</t>
        </is>
      </c>
      <c r="S36" s="39" t="inlineStr">
        <is>
          <t>2</t>
        </is>
      </c>
    </row>
    <row r="37" ht="15" customHeight="1" s="22">
      <c r="A37" s="39" t="n">
        <v>3</v>
      </c>
      <c r="B37" s="39" t="n">
        <v>11</v>
      </c>
      <c r="C37" s="39" t="inlineStr">
        <is>
          <t>PLiSAGE</t>
        </is>
      </c>
      <c r="D37" s="33" t="inlineStr">
        <is>
          <t>Por verificar (repo a completar con la referencia [41])</t>
        </is>
      </c>
      <c r="E37" s="33" t="inlineStr">
        <is>
          <t>Superficie molecular de la proteína + geometría 3D (herramientas de superficie, probablemente solo Linux)</t>
        </is>
      </c>
      <c r="F37" s="34" t="inlineStr">
        <is>
          <t>No</t>
        </is>
      </c>
      <c r="G37" s="34" t="inlineStr">
        <is>
          <t>No</t>
        </is>
      </c>
      <c r="H37" s="37" t="n"/>
      <c r="I37" s="37" t="n"/>
      <c r="J37" s="38">
        <f>IF(AND(ISNUMBER(H37),ISNUMBER(I37)),H37-I37,"")</f>
        <v/>
      </c>
      <c r="K37" s="34" t="inlineStr">
        <is>
          <t>23/10/2026: LISTA 2. Repositorio sí, documentado sí, no ejecutado en la revisión. Nivel 3 por el cálculo de superficies. Verificar modelo entrenado y dependencias.</t>
        </is>
      </c>
      <c r="Q37" s="21" t="inlineStr">
        <is>
          <t>Pendiente</t>
        </is>
      </c>
      <c r="R37" s="21" t="inlineStr">
        <is>
          <t>Pendiente</t>
        </is>
      </c>
      <c r="S37" s="39" t="inlineStr">
        <is>
          <t>2</t>
        </is>
      </c>
    </row>
    <row r="38" ht="15" customHeight="1" s="22">
      <c r="A38" s="39" t="n">
        <v>3</v>
      </c>
      <c r="B38" s="39" t="n">
        <v>12</v>
      </c>
      <c r="C38" s="39" t="inlineStr">
        <is>
          <t>TransScore</t>
        </is>
      </c>
      <c r="D38" s="33" t="inlineStr">
        <is>
          <t>Por verificar (repo a completar con la referencia [13])</t>
        </is>
      </c>
      <c r="E38" s="33" t="inlineStr">
        <is>
          <t>Grafo del complejo + TransformerConv (PyG)</t>
        </is>
      </c>
      <c r="F38" s="34" t="inlineStr">
        <is>
          <t>No</t>
        </is>
      </c>
      <c r="G38" s="34" t="inlineStr">
        <is>
          <t>No</t>
        </is>
      </c>
      <c r="H38" s="37" t="n"/>
      <c r="I38" s="37" t="n"/>
      <c r="J38" s="38">
        <f>IF(AND(ISNUMBER(H38),ISNUMBER(I38)),H38-I38,"")</f>
        <v/>
      </c>
      <c r="K38" s="34" t="inlineStr">
        <is>
          <t>23/10/2026: LISTA 2. IEEE JBHI 2024 (doi 10.1109/jbhi.2024.3504851). Repositorio sí, documentado sí, no ejecutado. Nivel 3 hasta verificar si hay modelo entrenado (puede bajar a Nivel 1–2).</t>
        </is>
      </c>
      <c r="Q38" s="21" t="inlineStr">
        <is>
          <t>Pendiente</t>
        </is>
      </c>
      <c r="R38" s="21" t="inlineStr">
        <is>
          <t>Pendiente</t>
        </is>
      </c>
      <c r="S38" s="39" t="inlineStr">
        <is>
          <t>2</t>
        </is>
      </c>
    </row>
    <row r="39" ht="15" customHeight="1" s="22">
      <c r="A39" s="39" t="n">
        <v>3</v>
      </c>
      <c r="B39" s="39" t="n">
        <v>13</v>
      </c>
      <c r="C39" s="39" t="inlineStr">
        <is>
          <t>SST</t>
        </is>
      </c>
      <c r="D39" s="33" t="inlineStr">
        <is>
          <t>Por verificar (repo a completar con la referencia [34])</t>
        </is>
      </c>
      <c r="E39" s="33" t="inlineStr">
        <is>
          <t>Transformers preentrenados (secuencia)</t>
        </is>
      </c>
      <c r="F39" s="34" t="inlineStr">
        <is>
          <t>No</t>
        </is>
      </c>
      <c r="G39" s="34" t="inlineStr">
        <is>
          <t>No</t>
        </is>
      </c>
      <c r="H39" s="37" t="n"/>
      <c r="I39" s="37" t="n"/>
      <c r="J39" s="38">
        <f>IF(AND(ISNUMBER(H39),ISNUMBER(I39)),H39-I39,"")</f>
        <v/>
      </c>
      <c r="K39" s="34" t="inlineStr">
        <is>
          <t>23/10/2026: LISTA 2. Repositorio sí, documentado sí, no ejecutado. No pude identificar el repo con certeza: completar. Nivel 3 hasta verificar modelo y entrenamiento.</t>
        </is>
      </c>
      <c r="Q39" s="21" t="inlineStr">
        <is>
          <t>Pendiente</t>
        </is>
      </c>
      <c r="R39" s="21" t="inlineStr">
        <is>
          <t>Pendiente</t>
        </is>
      </c>
      <c r="S39" s="39" t="inlineStr">
        <is>
          <t>2</t>
        </is>
      </c>
    </row>
    <row r="40" ht="15" customHeight="1" s="22">
      <c r="A40" s="39" t="n">
        <v>3</v>
      </c>
      <c r="B40" s="39" t="n">
        <v>14</v>
      </c>
      <c r="C40" s="39" t="inlineStr">
        <is>
          <t>DBGT-PLA</t>
        </is>
      </c>
      <c r="D40" s="33" t="inlineStr">
        <is>
          <t>Por verificar (repo a completar con la referencia [42])</t>
        </is>
      </c>
      <c r="E40" s="33" t="inlineStr">
        <is>
          <t>Grafo + Transformer (doble rama)</t>
        </is>
      </c>
      <c r="F40" s="34" t="inlineStr">
        <is>
          <t>No</t>
        </is>
      </c>
      <c r="G40" s="34" t="inlineStr">
        <is>
          <t>No</t>
        </is>
      </c>
      <c r="H40" s="37" t="n"/>
      <c r="I40" s="37" t="n"/>
      <c r="J40" s="38">
        <f>IF(AND(ISNUMBER(H40),ISNUMBER(I40)),H40-I40,"")</f>
        <v/>
      </c>
      <c r="K40" s="34" t="inlineStr">
        <is>
          <t>23/10/2026: LISTA 2. IEEE JBHI 2026 (doi 10.1109/jbhi.2026.3656542). Repositorio sí, pero sin documentación y no ejecutado. Nivel 3 por falta de documentación.</t>
        </is>
      </c>
      <c r="Q40" s="21" t="inlineStr">
        <is>
          <t>Pendiente</t>
        </is>
      </c>
      <c r="R40" s="21" t="inlineStr">
        <is>
          <t>Pendiente</t>
        </is>
      </c>
      <c r="S40" s="39" t="inlineStr">
        <is>
          <t>2</t>
        </is>
      </c>
    </row>
    <row r="41" ht="15" customHeight="1" s="22">
      <c r="A41" s="39" t="n">
        <v>3</v>
      </c>
      <c r="B41" s="39" t="n">
        <v>15</v>
      </c>
      <c r="C41" s="39" t="inlineStr">
        <is>
          <t>GITK</t>
        </is>
      </c>
      <c r="D41" s="33" t="inlineStr">
        <is>
          <t>Por verificar (repo a completar con la referencia [14])</t>
        </is>
      </c>
      <c r="E41" s="33" t="inlineStr">
        <is>
          <t>Por verificar</t>
        </is>
      </c>
      <c r="F41" s="34" t="inlineStr">
        <is>
          <t>No</t>
        </is>
      </c>
      <c r="G41" s="34" t="inlineStr">
        <is>
          <t>No</t>
        </is>
      </c>
      <c r="H41" s="37" t="n"/>
      <c r="I41" s="37" t="n"/>
      <c r="J41" s="38">
        <f>IF(AND(ISNUMBER(H41),ISNUMBER(I41)),H41-I41,"")</f>
        <v/>
      </c>
      <c r="K41" s="34" t="inlineStr">
        <is>
          <t>23/10/2026: LISTA 2. Repositorio sí, pero sin documentación y no ejecutado. Nivel 3 por falta de documentación.</t>
        </is>
      </c>
      <c r="Q41" s="21" t="inlineStr">
        <is>
          <t>Pendiente</t>
        </is>
      </c>
      <c r="R41" s="21" t="inlineStr">
        <is>
          <t>Pendiente</t>
        </is>
      </c>
      <c r="S41" s="39" t="inlineStr">
        <is>
          <t>2</t>
        </is>
      </c>
    </row>
    <row r="42" ht="15" customHeight="1" s="22">
      <c r="A42" s="39" t="inlineStr">
        <is>
          <t>Desc.</t>
        </is>
      </c>
      <c r="B42" s="39" t="n"/>
      <c r="C42" s="39" t="inlineStr">
        <is>
          <t>DeepTGIN</t>
        </is>
      </c>
      <c r="D42" s="33" t="inlineStr">
        <is>
          <t>No publicado (main.py carga best_model.pt pero nunca se subió)</t>
        </is>
      </c>
      <c r="E42" s="33" t="inlineStr">
        <is>
          <t>PyTorch 1.9 + PyG 2.0.1 + RDKit + Biopython (Python 3.8)</t>
        </is>
      </c>
      <c r="F42" s="34" t="inlineStr">
        <is>
          <t>No</t>
        </is>
      </c>
      <c r="G42" s="34" t="inlineStr">
        <is>
          <t>No</t>
        </is>
      </c>
      <c r="H42" s="37" t="n"/>
      <c r="I42" s="37" t="n">
        <v>0.834</v>
      </c>
      <c r="J42" s="38">
        <f>IF(AND(ISNUMBER(H42),ISNUMBER(I42)),H42-I42,"")</f>
        <v/>
      </c>
      <c r="K42" s="34" t="inlineStr">
        <is>
          <t>23/10/2026: LISTA 1 y 2, SELECCIONADA en la revisión. Repo github.com/zhc-moushang/DeepTGIN. DESCARTADA para inferencia: el repo no tiene modelo entrenado (revisado el historial completo de git); trae los datos preprocesados (train/val/test2016/test2013.pt) y create_data.py quedó en el historial (borrado el 24/01/2025). Solo se puede usar reentrenando. PCC reportado 0.834 = PDBbind2016 test set (Tabla 2 del artículo, J. Cheminform. 2024).</t>
        </is>
      </c>
      <c r="Q42" s="21" t="inlineStr">
        <is>
          <t>No aplica</t>
        </is>
      </c>
      <c r="R42" s="21" t="inlineStr">
        <is>
          <t>No aplica</t>
        </is>
      </c>
      <c r="S42" s="39" t="inlineStr">
        <is>
          <t>1 y 2</t>
        </is>
      </c>
    </row>
    <row r="43" ht="15" customHeight="1" s="22">
      <c r="Q43" s="21" t="n"/>
      <c r="R43" s="21" t="n"/>
    </row>
    <row r="44" ht="15" customHeight="1" s="22">
      <c r="A44" s="40" t="inlineStr">
        <is>
          <t>Descartadas (sin modelo entrenado): ECIF, MSECIF, Dowker, PerSpect ML, PPS-ML, EISA-Score, GGL-Score, MP-GNN, LGN, FGNN, MFE, MM-DRPNet, DeepTGIN (también Lista 2, ver fila), HaPPy, IMCPiDB-Score, GIaNt, CurvAGN, GCNN01, SMPLIP-Score, aescore, CPIScore (modelo incompleto, ver nota).</t>
        </is>
      </c>
      <c r="Q44" s="21" t="n"/>
      <c r="R44" s="21" t="n"/>
    </row>
    <row r="45" ht="15" customHeight="1" s="22">
      <c r="A45" s="40" t="inlineStr">
        <is>
          <t>Lista 2 – descartadas: sin repositorio público (12): AffinityLM, BTDHDTA, ETransDTA, FFT-DTBA, GSDeep-DTA, GTAMP-DTA, HGTDP-DTA, MambaTransDTA, MF-CNN, PLBA-FE-DL, TransMLP-DTBA, TransVAE-DTA. Con repo pero sin modelo entrenado: MRBDTA (github.com/LiZhang30/MRBDTA, solo Davis/KIBA, secuencia + SMILES). Fuente: Apresentação.pdf (revisión sistemática de Transformers, diap. 22–23).</t>
        </is>
      </c>
      <c r="Q45" s="21" t="n"/>
      <c r="R45" s="21" t="n"/>
    </row>
    <row r="46" ht="15" customHeight="1" s="22">
      <c r="A46" s="40" t="inlineStr">
        <is>
          <t>Filas con Nivel/#/SF en verde = Lista 2. Nivel asignado el 23/10/2026 según los criterios del proyecto (1: CPU y modelo listo; 2: pasos extra; 3: pesado o por verificar).</t>
        </is>
      </c>
      <c r="Q46" s="21" t="n"/>
      <c r="R46" s="21" t="n"/>
    </row>
    <row r="47" ht="15" customHeight="1" s="22">
      <c r="Q47" s="21" t="n"/>
      <c r="R47" s="21" t="n"/>
    </row>
    <row r="48" ht="15" customHeight="1" s="22">
      <c r="Q48" s="21" t="n"/>
      <c r="R48" s="21" t="n"/>
    </row>
    <row r="49" ht="15" customHeight="1" s="22">
      <c r="Q49" s="21" t="n"/>
      <c r="R49" s="21" t="n"/>
    </row>
    <row r="50" ht="15" customHeight="1" s="22">
      <c r="Q50" s="21" t="n"/>
      <c r="R50" s="21" t="n"/>
    </row>
    <row r="51" ht="15" customHeight="1" s="22">
      <c r="Q51" s="21" t="n"/>
      <c r="R51" s="21" t="n"/>
    </row>
    <row r="52" ht="15" customHeight="1" s="22">
      <c r="Q52" s="21" t="n"/>
      <c r="R52" s="21" t="n"/>
    </row>
    <row r="53" ht="15" customHeight="1" s="22">
      <c r="Q53" s="21" t="n"/>
      <c r="R53" s="21" t="n"/>
    </row>
    <row r="54" ht="15" customHeight="1" s="22">
      <c r="Q54" s="21" t="n"/>
      <c r="R54" s="21" t="n"/>
    </row>
    <row r="55" ht="15" customHeight="1" s="22">
      <c r="Q55" s="21" t="n"/>
      <c r="R55" s="21" t="n"/>
    </row>
    <row r="56" ht="15" customHeight="1" s="22">
      <c r="Q56" s="21" t="n"/>
      <c r="R56" s="21" t="n"/>
    </row>
    <row r="57" ht="15" customHeight="1" s="22">
      <c r="Q57" s="21" t="n"/>
      <c r="R57" s="21" t="n"/>
    </row>
    <row r="58" ht="15" customHeight="1" s="22">
      <c r="Q58" s="21" t="n"/>
      <c r="R58" s="21" t="n"/>
    </row>
    <row r="59" ht="15" customHeight="1" s="22">
      <c r="Q59" s="21" t="n"/>
      <c r="R59" s="21" t="n"/>
    </row>
    <row r="60" ht="15" customHeight="1" s="22">
      <c r="Q60" s="21" t="n"/>
      <c r="R60" s="21" t="n"/>
    </row>
  </sheetData>
  <autoFilter ref="A4:S42"/>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60" showDropDown="0" showInputMessage="0" showErrorMessage="0" allowBlank="1" type="list" errorStyle="stop" operator="between">
      <formula1>"Sí,No,Parcial"</formula1>
      <formula2>0</formula2>
    </dataValidation>
    <dataValidation sqref="Q5:R60" showDropDown="0" showInputMessage="0" showErrorMessage="0" allowBlank="1" type="list" errorStyle="stop" operator="between">
      <formula1>"Pendiente,PASS,FAIL,No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2026-10-25T22:38:45Z</dcterms:modified>
  <cp:revision>0</cp:revision>
</cp:coreProperties>
</file>