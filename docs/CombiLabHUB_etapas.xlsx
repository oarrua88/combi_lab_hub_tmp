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COUNTIF(Etapas!$B$5:$B$40,A4)</f>
        <v/>
      </c>
      <c r="C4" s="20">
        <f>COUNTIFS(Etapas!$B$5:$B$40,A4,Etapas!$F$5:$F$40,"Completada")</f>
        <v/>
      </c>
      <c r="D4" s="20">
        <f>COUNTIFS(Etapas!$B$5:$B$40,A4,Etapas!$F$5:$F$40,"En progreso")</f>
        <v/>
      </c>
      <c r="E4" s="20">
        <f>COUNTIFS(Etapas!$B$5:$B$40,A4,Etapas!$F$5:$F$40,"Pendiente")</f>
        <v/>
      </c>
      <c r="F4" s="21">
        <f>IF(B4=0,0,C4/B4)</f>
        <v/>
      </c>
    </row>
    <row r="5" ht="15" customHeight="1" s="17">
      <c r="A5" s="20" t="inlineStr">
        <is>
          <t>1. Relevamiento de SF</t>
        </is>
      </c>
      <c r="B5" s="20">
        <f>COUNTIF(Etapas!$B$5:$B$40,A5)</f>
        <v/>
      </c>
      <c r="C5" s="20">
        <f>COUNTIFS(Etapas!$B$5:$B$40,A5,Etapas!$F$5:$F$40,"Completada")</f>
        <v/>
      </c>
      <c r="D5" s="20">
        <f>COUNTIFS(Etapas!$B$5:$B$40,A5,Etapas!$F$5:$F$40,"En progreso")</f>
        <v/>
      </c>
      <c r="E5" s="20">
        <f>COUNTIFS(Etapas!$B$5:$B$40,A5,Etapas!$F$5:$F$40,"Pendiente")</f>
        <v/>
      </c>
      <c r="F5" s="21">
        <f>IF(B5=0,0,C5/B5)</f>
        <v/>
      </c>
    </row>
    <row r="6" ht="15" customHeight="1" s="17">
      <c r="A6" s="20" t="inlineStr">
        <is>
          <t>2. Descarga de código</t>
        </is>
      </c>
      <c r="B6" s="20">
        <f>COUNTIF(Etapas!$B$5:$B$40,A6)</f>
        <v/>
      </c>
      <c r="C6" s="20">
        <f>COUNTIFS(Etapas!$B$5:$B$40,A6,Etapas!$F$5:$F$40,"Completada")</f>
        <v/>
      </c>
      <c r="D6" s="20">
        <f>COUNTIFS(Etapas!$B$5:$B$40,A6,Etapas!$F$5:$F$40,"En progreso")</f>
        <v/>
      </c>
      <c r="E6" s="20">
        <f>COUNTIFS(Etapas!$B$5:$B$40,A6,Etapas!$F$5:$F$40,"Pendiente")</f>
        <v/>
      </c>
      <c r="F6" s="21">
        <f>IF(B6=0,0,C6/B6)</f>
        <v/>
      </c>
    </row>
    <row r="7" ht="15" customHeight="1" s="17">
      <c r="A7" s="20" t="inlineStr">
        <is>
          <t>3. Ranking para probar sin reentrenar</t>
        </is>
      </c>
      <c r="B7" s="20">
        <f>COUNTIF(Etapas!$B$5:$B$40,A7)</f>
        <v/>
      </c>
      <c r="C7" s="20">
        <f>COUNTIFS(Etapas!$B$5:$B$40,A7,Etapas!$F$5:$F$40,"Completada")</f>
        <v/>
      </c>
      <c r="D7" s="20">
        <f>COUNTIFS(Etapas!$B$5:$B$40,A7,Etapas!$F$5:$F$40,"En progreso")</f>
        <v/>
      </c>
      <c r="E7" s="20">
        <f>COUNTIFS(Etapas!$B$5:$B$40,A7,Etapas!$F$5:$F$40,"Pendiente")</f>
        <v/>
      </c>
      <c r="F7" s="21">
        <f>IF(B7=0,0,C7/B7)</f>
        <v/>
      </c>
    </row>
    <row r="8" ht="15" customHeight="1" s="17">
      <c r="A8" s="20" t="inlineStr">
        <is>
          <t>4. Framework CombiLabHUB</t>
        </is>
      </c>
      <c r="B8" s="20">
        <f>COUNTIF(Etapas!$B$5:$B$40,A8)</f>
        <v/>
      </c>
      <c r="C8" s="20">
        <f>COUNTIFS(Etapas!$B$5:$B$40,A8,Etapas!$F$5:$F$40,"Completada")</f>
        <v/>
      </c>
      <c r="D8" s="20">
        <f>COUNTIFS(Etapas!$B$5:$B$40,A8,Etapas!$F$5:$F$40,"En progreso")</f>
        <v/>
      </c>
      <c r="E8" s="20">
        <f>COUNTIFS(Etapas!$B$5:$B$40,A8,Etapas!$F$5:$F$40,"Pendiente")</f>
        <v/>
      </c>
      <c r="F8" s="21">
        <f>IF(B8=0,0,C8/B8)</f>
        <v/>
      </c>
    </row>
    <row r="9" ht="15" customHeight="1" s="17">
      <c r="A9" s="20" t="inlineStr">
        <is>
          <t>5. Pruebas Nivel 1 (CPU, modelo listo)</t>
        </is>
      </c>
      <c r="B9" s="20">
        <f>COUNTIF(Etapas!$B$5:$B$40,A9)</f>
        <v/>
      </c>
      <c r="C9" s="20">
        <f>COUNTIFS(Etapas!$B$5:$B$40,A9,Etapas!$F$5:$F$40,"Completada")</f>
        <v/>
      </c>
      <c r="D9" s="20">
        <f>COUNTIFS(Etapas!$B$5:$B$40,A9,Etapas!$F$5:$F$40,"En progreso")</f>
        <v/>
      </c>
      <c r="E9" s="20">
        <f>COUNTIFS(Etapas!$B$5:$B$40,A9,Etapas!$F$5:$F$40,"Pendiente")</f>
        <v/>
      </c>
      <c r="F9" s="21">
        <f>IF(B9=0,0,C9/B9)</f>
        <v/>
      </c>
    </row>
    <row r="10" ht="15" customHeight="1" s="17">
      <c r="A10" s="20" t="inlineStr">
        <is>
          <t>6. Pruebas Nivel 2 (pasos extra)</t>
        </is>
      </c>
      <c r="B10" s="20">
        <f>COUNTIF(Etapas!$B$5:$B$40,A10)</f>
        <v/>
      </c>
      <c r="C10" s="20">
        <f>COUNTIFS(Etapas!$B$5:$B$40,A10,Etapas!$F$5:$F$40,"Completada")</f>
        <v/>
      </c>
      <c r="D10" s="20">
        <f>COUNTIFS(Etapas!$B$5:$B$40,A10,Etapas!$F$5:$F$40,"En progreso")</f>
        <v/>
      </c>
      <c r="E10" s="20">
        <f>COUNTIFS(Etapas!$B$5:$B$40,A10,Etapas!$F$5:$F$40,"Pendiente")</f>
        <v/>
      </c>
      <c r="F10" s="21">
        <f>IF(B10=0,0,C10/B10)</f>
        <v/>
      </c>
    </row>
    <row r="11" ht="15" customHeight="1" s="17">
      <c r="A11" s="20" t="inlineStr">
        <is>
          <t>7. Pruebas Nivel 3 (pesadas/complicadas)</t>
        </is>
      </c>
      <c r="B11" s="20">
        <f>COUNTIF(Etapas!$B$5:$B$40,A11)</f>
        <v/>
      </c>
      <c r="C11" s="20">
        <f>COUNTIFS(Etapas!$B$5:$B$40,A11,Etapas!$F$5:$F$40,"Completada")</f>
        <v/>
      </c>
      <c r="D11" s="20">
        <f>COUNTIFS(Etapas!$B$5:$B$40,A11,Etapas!$F$5:$F$40,"En progreso")</f>
        <v/>
      </c>
      <c r="E11" s="20">
        <f>COUNTIFS(Etapas!$B$5:$B$40,A11,Etapas!$F$5:$F$40,"Pendiente")</f>
        <v/>
      </c>
      <c r="F11" s="21">
        <f>IF(B11=0,0,C11/B11)</f>
        <v/>
      </c>
    </row>
    <row r="12" ht="15" customHeight="1" s="17">
      <c r="A12" s="20" t="inlineStr">
        <is>
          <t>8. Evaluación en CASF-2016</t>
        </is>
      </c>
      <c r="B12" s="20">
        <f>COUNTIF(Etapas!$B$5:$B$40,A12)</f>
        <v/>
      </c>
      <c r="C12" s="20">
        <f>COUNTIFS(Etapas!$B$5:$B$40,A12,Etapas!$F$5:$F$40,"Completada")</f>
        <v/>
      </c>
      <c r="D12" s="20">
        <f>COUNTIFS(Etapas!$B$5:$B$40,A12,Etapas!$F$5:$F$40,"En progreso")</f>
        <v/>
      </c>
      <c r="E12" s="20">
        <f>COUNTIFS(Etapas!$B$5:$B$40,A12,Etapas!$F$5:$F$40,"Pendiente")</f>
        <v/>
      </c>
      <c r="F12" s="21">
        <f>IF(B12=0,0,C12/B12)</f>
        <v/>
      </c>
    </row>
    <row r="13" ht="15" customHeight="1" s="17">
      <c r="A13" s="20" t="inlineStr">
        <is>
          <t>9. Interfaz</t>
        </is>
      </c>
      <c r="B13" s="20">
        <f>COUNTIF(Etapas!$B$5:$B$40,A13)</f>
        <v/>
      </c>
      <c r="C13" s="20">
        <f>COUNTIFS(Etapas!$B$5:$B$40,A13,Etapas!$F$5:$F$40,"Completada")</f>
        <v/>
      </c>
      <c r="D13" s="20">
        <f>COUNTIFS(Etapas!$B$5:$B$40,A13,Etapas!$F$5:$F$40,"En progreso")</f>
        <v/>
      </c>
      <c r="E13" s="20">
        <f>COUNTIFS(Etapas!$B$5:$B$40,A13,Etapas!$F$5:$F$40,"Pendiente")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(11), Nivel 2 (7), Nivel 3 (9), descartadas (20, sin modelo entrenado)</t>
        </is>
      </c>
      <c r="E16" s="27" t="inlineStr">
        <is>
          <t>2.1</t>
        </is>
      </c>
      <c r="F16" s="28" t="inlineStr">
        <is>
          <t>Completada</t>
        </is>
      </c>
      <c r="G16" s="28" t="n"/>
      <c r="H16" s="29" t="n"/>
      <c r="I16" s="29" t="n"/>
      <c r="J16" s="28" t="inlineStr">
        <is>
          <t xml:space="preserve"> | 21/10/2026: RFL-Score pasa del Nivel 3 al Nivel 1</t>
        </is>
      </c>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row r="35">
      <c r="A35" s="27" t="inlineStr">
        <is>
          <t>5.4</t>
        </is>
      </c>
      <c r="B35" s="27" t="inlineStr">
        <is>
          <t>5. Pruebas Nivel 1 (CPU, modelo listo)</t>
        </is>
      </c>
      <c r="C35" s="27" t="inlineStr">
        <is>
          <t>RFL-Score (SF de combi-lab)</t>
        </is>
      </c>
      <c r="D35" s="27" t="inlineStr">
        <is>
          <t>Plugin plugins/rfl_score: test liviano con R en Windows + pipeline completo de 160 features con Docker</t>
        </is>
      </c>
      <c r="E35" s="27" t="inlineStr">
        <is>
          <t>5.3</t>
        </is>
      </c>
      <c r="F35" s="28" t="inlineStr">
        <is>
          <t>Completada</t>
        </is>
      </c>
      <c r="G35" s="28" t="n"/>
      <c r="H35" s="29" t="n">
        <v>46316</v>
      </c>
      <c r="I35" s="29" t="n">
        <v>46316</v>
      </c>
      <c r="J35" s="28"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4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1</v>
      </c>
      <c r="B15" s="27" t="n">
        <v>11</v>
      </c>
      <c r="C15" s="27" t="inlineStr">
        <is>
          <t>RFL-Score</t>
        </is>
      </c>
      <c r="D15" s="27" t="inlineStr">
        <is>
          <t>scoring/RScript/model/scoring_function_160.rda en el repo (Random Forest de R, 160 features; MD5 d1ad344e…)</t>
        </is>
      </c>
      <c r="E15" s="27" t="inlineStr">
        <is>
          <t>R + randomForest (test Windows conda). Pipeline completo de features (solo Linux → Docker): Open Babel 2.4.1, PaDEL (Java 11), DSSP, MGLTools 1.5.7, vina4dv, ODDT 0.7, RDKit 2020.09 (Python 3.7)</t>
        </is>
      </c>
      <c r="F15" s="28" t="inlineStr">
        <is>
          <t>Sí</t>
        </is>
      </c>
      <c r="G15" s="28" t="inlineStr">
        <is>
          <t>Sí</t>
        </is>
      </c>
      <c r="H15" s="30" t="n"/>
      <c r="I15" s="30" t="n"/>
      <c r="J15" s="31">
        <f>IF(AND(ISNUMBER(H15),ISNUMBER(I15)),H15-I15,"")</f>
        <v/>
      </c>
      <c r="K15" s="28"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t>
        </is>
      </c>
      <c r="L15" s="28" t="inlineStr">
        <is>
          <t>rfl_score</t>
        </is>
      </c>
      <c r="M15" s="28" t="inlineStr">
        <is>
          <t>demo_rfl_score.bat (solo modelo)</t>
        </is>
      </c>
      <c r="N15" s="28" t="inlineStr">
        <is>
          <t>combilab/rfl_score:1.0</t>
        </is>
      </c>
      <c r="O15" s="28" t="inlineStr">
        <is>
          <t>docker_rfl_score.bat</t>
        </is>
      </c>
      <c r="P15" s="28" t="inlineStr">
        <is>
          <t>docker_rfl_score.sh</t>
        </is>
      </c>
      <c r="Q15" s="30" t="inlineStr">
        <is>
          <t>Pendiente</t>
        </is>
      </c>
      <c r="R15" s="30" t="inlineStr">
        <is>
          <t>Pendiente</t>
        </is>
      </c>
    </row>
    <row r="16" ht="15" customHeight="1" s="17">
      <c r="A16" s="27" t="n">
        <v>2</v>
      </c>
      <c r="B16" s="27" t="n">
        <v>1</v>
      </c>
      <c r="C16" s="27" t="inlineStr">
        <is>
          <t>DeepBindGCN</t>
        </is>
      </c>
      <c r="D16" s="27" t="inlineStr">
        <is>
          <t>GitHub release v1.0.0: full_model_out2000_RG.model (MD5 aaa69454…)</t>
        </is>
      </c>
      <c r="E16" s="27" t="inlineStr">
        <is>
          <t>PyTorch 2.2 + PyG 2.5.3 + RDKit (Python 3.10)</t>
        </is>
      </c>
      <c r="F16" s="28" t="inlineStr">
        <is>
          <t>Sí</t>
        </is>
      </c>
      <c r="G16" s="28" t="inlineStr">
        <is>
          <t>Sí</t>
        </is>
      </c>
      <c r="H16" s="30" t="n"/>
      <c r="I16" s="30" t="n">
        <v>0.75</v>
      </c>
      <c r="J16" s="31">
        <f>IF(AND(ISNUMBER(H16),ISNUMBER(I16)),H16-I16,"")</f>
        <v/>
      </c>
      <c r="K16"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28" t="inlineStr">
        <is>
          <t>deepbindgcn</t>
        </is>
      </c>
      <c r="M16" s="28" t="inlineStr">
        <is>
          <t>demo_deepbindgcn.bat</t>
        </is>
      </c>
      <c r="N16" s="28" t="inlineStr">
        <is>
          <t>combilab/deepbindgcn:1.0</t>
        </is>
      </c>
      <c r="O16" s="28" t="inlineStr">
        <is>
          <t>docker_deepbindgcn.bat</t>
        </is>
      </c>
      <c r="P16" s="28" t="inlineStr">
        <is>
          <t>docker_deepbindgcn.sh</t>
        </is>
      </c>
      <c r="Q16" s="30" t="inlineStr">
        <is>
          <t>Pendiente</t>
        </is>
      </c>
      <c r="R16" s="30" t="inlineStr">
        <is>
          <t>Pendiente</t>
        </is>
      </c>
    </row>
    <row r="17" ht="15" customHeight="1" s="17">
      <c r="A17" s="27" t="n">
        <v>2</v>
      </c>
      <c r="B17" s="27" t="n">
        <v>2</v>
      </c>
      <c r="C17" s="27" t="inlineStr">
        <is>
          <t>HAC-Net</t>
        </is>
      </c>
      <c r="D17" s="27" t="inlineStr">
        <is>
          <t>HACNet/parameter_files en el repo (4 .pt) + paquete PyPI HACNet 1.4.3</t>
        </is>
      </c>
      <c r="E17" s="27" t="inlineStr">
        <is>
          <t>PyTorch 2.2 + PyG 2.5.3 + Open Babel + PyMOL; cargas EqEq: servicio web ACC2 o ChargeFW2 local (Docker)</t>
        </is>
      </c>
      <c r="F17" s="28" t="inlineStr">
        <is>
          <t>Sí</t>
        </is>
      </c>
      <c r="G17" s="28" t="inlineStr">
        <is>
          <t>Sí</t>
        </is>
      </c>
      <c r="H17" s="30" t="n"/>
      <c r="I17" s="30" t="n">
        <v>0.846</v>
      </c>
      <c r="J17" s="31">
        <f>IF(AND(ISNUMBER(H17),ISNUMBER(I17)),H17-I17,"")</f>
        <v/>
      </c>
      <c r="K17"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28" t="inlineStr">
        <is>
          <t>hacnet</t>
        </is>
      </c>
      <c r="M17" s="28" t="inlineStr">
        <is>
          <t>demo_hacnet.bat</t>
        </is>
      </c>
      <c r="N17" s="28" t="inlineStr">
        <is>
          <t>combilab/hacnet:1.0</t>
        </is>
      </c>
      <c r="O17" s="28" t="inlineStr">
        <is>
          <t>docker_hacnet.bat</t>
        </is>
      </c>
      <c r="P17" s="28" t="inlineStr">
        <is>
          <t>docker_hacnet.sh</t>
        </is>
      </c>
      <c r="Q17" s="30" t="inlineStr">
        <is>
          <t>Pendiente</t>
        </is>
      </c>
      <c r="R17" s="30" t="inlineStr">
        <is>
          <t>PASS</t>
        </is>
      </c>
    </row>
    <row r="18" ht="15" customHeight="1" s="17">
      <c r="A18" s="27" t="n">
        <v>2</v>
      </c>
      <c r="B18" s="27" t="n">
        <v>3</v>
      </c>
      <c r="C18" s="27" t="inlineStr">
        <is>
          <t>delta_LinF9_XGB</t>
        </is>
      </c>
      <c r="D18" s="27" t="inlineStr">
        <is>
          <t>saved_model/mod_1..10.pickle.dat en el repo (xgboost 1.2.0)</t>
        </is>
      </c>
      <c r="E18" s="27" t="inlineStr">
        <is>
          <t>Solo Linux: smina (repo), MSMS, MGLTools 1.5.7 (Python 2), AlphaSpace2, xgboost 1.2.0 → en Windows vía Docker/WSL</t>
        </is>
      </c>
      <c r="F18" s="28" t="inlineStr">
        <is>
          <t>Sí</t>
        </is>
      </c>
      <c r="G18" s="28" t="inlineStr">
        <is>
          <t>Sí</t>
        </is>
      </c>
      <c r="H18" s="30" t="n"/>
      <c r="I18" s="30" t="n">
        <v>0.845</v>
      </c>
      <c r="J18" s="31">
        <f>IF(AND(ISNUMBER(H18),ISNUMBER(I18)),H18-I18,"")</f>
        <v/>
      </c>
      <c r="K18"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28" t="inlineStr">
        <is>
          <t>delta_linf9_xgb</t>
        </is>
      </c>
      <c r="M18" s="28" t="inlineStr">
        <is>
          <t>no (solo Linux) → usar Docker</t>
        </is>
      </c>
      <c r="N18" s="28" t="inlineStr">
        <is>
          <t>combilab/delta_linf9_xgb:1.0</t>
        </is>
      </c>
      <c r="O18" s="28" t="inlineStr">
        <is>
          <t>docker_delta_linf9_xgb.bat</t>
        </is>
      </c>
      <c r="P18" s="28" t="inlineStr">
        <is>
          <t>docker_delta_linf9_xgb.sh</t>
        </is>
      </c>
      <c r="Q18" s="30" t="inlineStr">
        <is>
          <t>PASS</t>
        </is>
      </c>
      <c r="R18" s="30" t="inlineStr">
        <is>
          <t>—</t>
        </is>
      </c>
    </row>
    <row r="19" ht="15" customHeight="1" s="17">
      <c r="A19" s="27" t="n">
        <v>2</v>
      </c>
      <c r="B19" s="27" t="n">
        <v>4</v>
      </c>
      <c r="C19" s="27" t="inlineStr">
        <is>
          <t>GraphscoreDTA</t>
        </is>
      </c>
      <c r="D19" s="27" t="inlineStr">
        <is>
          <t>model/modelp.pth en el repo + grafos CASF-2016 preparados (release Data, 35 MB)</t>
        </is>
      </c>
      <c r="E19" s="27" t="inlineStr">
        <is>
          <t>PyTorch 2.2 + DGL 2.2.1 (Python 3.10)</t>
        </is>
      </c>
      <c r="F19" s="28" t="inlineStr">
        <is>
          <t>Sí</t>
        </is>
      </c>
      <c r="G19" s="28" t="inlineStr">
        <is>
          <t>Sí</t>
        </is>
      </c>
      <c r="H19" s="30" t="n"/>
      <c r="I19" s="30" t="n">
        <v>0.831</v>
      </c>
      <c r="J19" s="31">
        <f>IF(AND(ISNUMBER(H19),ISNUMBER(I19)),H19-I19,"")</f>
        <v/>
      </c>
      <c r="K19"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28" t="inlineStr">
        <is>
          <t>graphscoredta</t>
        </is>
      </c>
      <c r="M19" s="28" t="inlineStr">
        <is>
          <t>demo_graphscoredta.bat</t>
        </is>
      </c>
      <c r="N19" s="28" t="inlineStr">
        <is>
          <t>combilab/graphscoredta:1.0</t>
        </is>
      </c>
      <c r="O19" s="28" t="inlineStr">
        <is>
          <t>docker_graphscoredta.bat</t>
        </is>
      </c>
      <c r="P19" s="28" t="inlineStr">
        <is>
          <t>docker_graphscoredta.sh</t>
        </is>
      </c>
      <c r="Q19" s="30" t="inlineStr">
        <is>
          <t>Pendiente</t>
        </is>
      </c>
      <c r="R19" s="30" t="inlineStr">
        <is>
          <t>Pendiente</t>
        </is>
      </c>
    </row>
    <row r="20" ht="15" customHeight="1" s="17">
      <c r="A20" s="27" t="n">
        <v>2</v>
      </c>
      <c r="B20" s="27" t="n">
        <v>5</v>
      </c>
      <c r="C20" s="27" t="inlineStr">
        <is>
          <t>IGModel</t>
        </is>
      </c>
      <c r="D20" s="27" t="inlineStr">
        <is>
          <t>models/saved_model.pth y self-ref_model.pth en el repo</t>
        </is>
      </c>
      <c r="E20" s="27" t="inlineStr">
        <is>
          <t>PyTorch 2.2 + DGL 2.2.1 + RDKit + Open Babel 3.1.1 + spyrmsd (Python 3.10)</t>
        </is>
      </c>
      <c r="F20" s="28" t="inlineStr">
        <is>
          <t>Sí</t>
        </is>
      </c>
      <c r="G20" s="28" t="inlineStr">
        <is>
          <t>Sí</t>
        </is>
      </c>
      <c r="H20" s="30" t="n"/>
      <c r="I20" s="30" t="n">
        <v>0.831</v>
      </c>
      <c r="J20" s="31">
        <f>IF(AND(ISNUMBER(H20),ISNUMBER(I20)),H20-I20,"")</f>
        <v/>
      </c>
      <c r="K20" s="28" t="inlineStr">
        <is>
          <t>21/10/2026: test PASS: reproduce el notebook de los autores (1bcu, 10 poses, dif. 3e-6); 1a30 = 5.0653 (modo referencia; self-ref 5.4664). El .sdf de 1a30 no lo lee RDKit: usar .mol2. Eaves usa modo self-ref con saved_model.pth. Plugin: plugins/igmodel</t>
        </is>
      </c>
      <c r="L20" s="28" t="inlineStr">
        <is>
          <t>igmodel</t>
        </is>
      </c>
      <c r="M20" s="28" t="inlineStr">
        <is>
          <t>demo_igmodel.bat</t>
        </is>
      </c>
      <c r="N20" s="28" t="inlineStr">
        <is>
          <t>combilab/igmodel:1.0</t>
        </is>
      </c>
      <c r="O20" s="28" t="inlineStr">
        <is>
          <t>docker_igmodel.bat</t>
        </is>
      </c>
      <c r="P20" s="28" t="inlineStr">
        <is>
          <t>docker_igmodel.sh</t>
        </is>
      </c>
      <c r="Q20" s="30" t="inlineStr">
        <is>
          <t>Pendiente</t>
        </is>
      </c>
      <c r="R20" s="30" t="inlineStr">
        <is>
          <t>Pendiente</t>
        </is>
      </c>
    </row>
    <row r="21" ht="15" customHeight="1" s="17">
      <c r="A21" s="27" t="n">
        <v>2</v>
      </c>
      <c r="B21" s="27" t="n">
        <v>6</v>
      </c>
      <c r="C21" s="27" t="inlineStr">
        <is>
          <t>ConBAP</t>
        </is>
      </c>
      <c r="D21" s="27" t="inlineStr">
        <is>
          <t>modelo contrastivo + cabeza de afinidad repeat0 en el repo</t>
        </is>
      </c>
      <c r="E21" s="27" t="inlineStr">
        <is>
          <t>PyTorch 2.2 + PyG 2.5.3 + torch_scatter/cluster + GVP-GNN + RDKit + PyMOL (Python 3.10)</t>
        </is>
      </c>
      <c r="F21" s="28" t="inlineStr">
        <is>
          <t>Sí</t>
        </is>
      </c>
      <c r="G21" s="28" t="inlineStr">
        <is>
          <t>Sí</t>
        </is>
      </c>
      <c r="H21" s="30" t="n"/>
      <c r="I21" s="30" t="n">
        <v>0.864</v>
      </c>
      <c r="J21" s="31">
        <f>IF(AND(ISNUMBER(H21),ISNUMBER(I21)),H21-I21,"")</f>
        <v/>
      </c>
      <c r="K21"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28" t="inlineStr">
        <is>
          <t>conbap</t>
        </is>
      </c>
      <c r="M21" s="28" t="inlineStr">
        <is>
          <t>demo_conbap.bat</t>
        </is>
      </c>
      <c r="N21" s="28" t="inlineStr">
        <is>
          <t>combilab/conbap:1.0</t>
        </is>
      </c>
      <c r="O21" s="28" t="inlineStr">
        <is>
          <t>docker_conbap.bat</t>
        </is>
      </c>
      <c r="P21" s="28" t="inlineStr">
        <is>
          <t>docker_conbap.sh</t>
        </is>
      </c>
      <c r="Q21" s="30" t="inlineStr">
        <is>
          <t>Pendiente</t>
        </is>
      </c>
      <c r="R21" s="30" t="inlineStr">
        <is>
          <t>Pendiente</t>
        </is>
      </c>
    </row>
    <row r="22" ht="15" customHeight="1" s="17">
      <c r="A22" s="27" t="n">
        <v>2</v>
      </c>
      <c r="B22" s="27" t="n">
        <v>7</v>
      </c>
      <c r="C22" s="27" t="inlineStr">
        <is>
          <t>CPIScore</t>
        </is>
      </c>
      <c r="D22" s="27" t="inlineStr">
        <is>
          <t>result/model.pkl (incompleto)</t>
        </is>
      </c>
      <c r="E22" s="27" t="inlineStr">
        <is>
          <t>—</t>
        </is>
      </c>
      <c r="F22" s="28" t="inlineStr">
        <is>
          <t>No</t>
        </is>
      </c>
      <c r="G22" s="28" t="inlineStr">
        <is>
          <t>No</t>
        </is>
      </c>
      <c r="H22" s="30" t="n"/>
      <c r="I22" s="30" t="n">
        <v>0.74</v>
      </c>
      <c r="J22" s="31">
        <f>IF(AND(ISNUMBER(H22),ISNUMBER(I22)),H22-I22,"")</f>
        <v/>
      </c>
      <c r="K22" s="28" t="inlineStr">
        <is>
          <t>21/10/2026: DESCARTADA. Faltan los modelos word2vec (SMILES 256d y proteína 512d) que usan sus features, y la rama Transformer se crea con pesos aleatorios en cada forward (no está en model.pkl): predicciones no reproducibles. Ver plugins/cpiscore/INSTALL.md</t>
        </is>
      </c>
      <c r="L22" s="16" t="inlineStr">
        <is>
          <t>cpiscore</t>
        </is>
      </c>
      <c r="M22" s="16" t="inlineStr">
        <is>
          <t>—</t>
        </is>
      </c>
      <c r="N22" s="16" t="inlineStr">
        <is>
          <t>—</t>
        </is>
      </c>
      <c r="O22" s="16" t="inlineStr">
        <is>
          <t>—</t>
        </is>
      </c>
      <c r="P22" s="16" t="inlineStr">
        <is>
          <t>—</t>
        </is>
      </c>
      <c r="Q22" s="16" t="inlineStr">
        <is>
          <t>No aplica</t>
        </is>
      </c>
      <c r="R22" s="16" t="inlineStr">
        <is>
          <t>No aplica</t>
        </is>
      </c>
    </row>
    <row r="23" ht="15" customHeight="1" s="17">
      <c r="A23" s="27" t="n">
        <v>3</v>
      </c>
      <c r="B23" s="27" t="n">
        <v>1</v>
      </c>
      <c r="C23" s="27" t="inlineStr">
        <is>
          <t>PointNet</t>
        </is>
      </c>
      <c r="D23" s="27" t="n"/>
      <c r="E23" s="27" t="inlineStr">
        <is>
          <t>GPU / descargas grandes</t>
        </is>
      </c>
      <c r="F23" s="28" t="n"/>
      <c r="G23" s="28" t="n"/>
      <c r="H23" s="30" t="n"/>
      <c r="I23" s="30" t="n"/>
      <c r="J23" s="31">
        <f>IF(AND(ISNUMBER(H23),ISNUMBER(I23)),H23-I23,"")</f>
        <v/>
      </c>
      <c r="K23" s="28" t="n"/>
    </row>
    <row r="24" ht="15" customHeight="1" s="17">
      <c r="A24" s="27" t="n">
        <v>3</v>
      </c>
      <c r="B24" s="27" t="n">
        <v>2</v>
      </c>
      <c r="C24" s="27" t="inlineStr">
        <is>
          <t>PIGNet2</t>
        </is>
      </c>
      <c r="D24" s="27" t="n"/>
      <c r="E24" s="27" t="inlineStr">
        <is>
          <t>GPU</t>
        </is>
      </c>
      <c r="F24" s="28" t="n"/>
      <c r="G24" s="28" t="n"/>
      <c r="H24" s="30" t="n"/>
      <c r="I24" s="30" t="n"/>
      <c r="J24" s="31">
        <f>IF(AND(ISNUMBER(H24),ISNUMBER(I24)),H24-I24,"")</f>
        <v/>
      </c>
      <c r="K24" s="28" t="n"/>
    </row>
    <row r="25" ht="15" customHeight="1" s="17">
      <c r="A25" s="27" t="n">
        <v>3</v>
      </c>
      <c r="B25" s="27" t="n">
        <v>3</v>
      </c>
      <c r="C25" s="27" t="inlineStr">
        <is>
          <t>Dynaformer</t>
        </is>
      </c>
      <c r="D25" s="27" t="n"/>
      <c r="E25" s="27" t="inlineStr">
        <is>
          <t>GPU</t>
        </is>
      </c>
      <c r="F25" s="28" t="n"/>
      <c r="G25" s="28" t="n"/>
      <c r="H25" s="30" t="n"/>
      <c r="I25" s="30" t="n"/>
      <c r="J25" s="31">
        <f>IF(AND(ISNUMBER(H25),ISNUMBER(I25)),H25-I25,"")</f>
        <v/>
      </c>
      <c r="K25" s="28" t="n"/>
    </row>
    <row r="26" ht="15" customHeight="1" s="17">
      <c r="A26" s="27" t="n">
        <v>3</v>
      </c>
      <c r="B26" s="27" t="n">
        <v>4</v>
      </c>
      <c r="C26" s="27" t="inlineStr">
        <is>
          <t>TopoFormer</t>
        </is>
      </c>
      <c r="D26" s="27" t="n"/>
      <c r="E26" s="27" t="inlineStr">
        <is>
          <t>GPU / descargas grandes</t>
        </is>
      </c>
      <c r="F26" s="28" t="n"/>
      <c r="G26" s="28" t="n"/>
      <c r="H26" s="30" t="n"/>
      <c r="I26" s="30" t="n"/>
      <c r="J26" s="31">
        <f>IF(AND(ISNUMBER(H26),ISNUMBER(I26)),H26-I26,"")</f>
        <v/>
      </c>
      <c r="K26" s="28" t="n"/>
    </row>
    <row r="27" ht="15" customHeight="1" s="17">
      <c r="A27" s="27" t="n">
        <v>3</v>
      </c>
      <c r="B27" s="27" t="n">
        <v>5</v>
      </c>
      <c r="C27" s="27" t="inlineStr">
        <is>
          <t>BAPA</t>
        </is>
      </c>
      <c r="D27" s="27" t="n"/>
      <c r="E27" s="27" t="inlineStr">
        <is>
          <t>TensorFlow 1.12</t>
        </is>
      </c>
      <c r="F27" s="28" t="n"/>
      <c r="G27" s="28" t="n"/>
      <c r="H27" s="30" t="n"/>
      <c r="I27" s="30" t="n"/>
      <c r="J27" s="31">
        <f>IF(AND(ISNUMBER(H27),ISNUMBER(I27)),H27-I27,"")</f>
        <v/>
      </c>
      <c r="K27" s="28" t="n"/>
    </row>
    <row r="28" ht="15" customHeight="1" s="17">
      <c r="A28" s="27" t="n">
        <v>3</v>
      </c>
      <c r="B28" s="27" t="n">
        <v>6</v>
      </c>
      <c r="C28" s="27" t="inlineStr">
        <is>
          <t>CGraphDTA</t>
        </is>
      </c>
      <c r="D28" s="27" t="n"/>
      <c r="E28" s="27" t="inlineStr">
        <is>
          <t>Bases HHblits/BLAST</t>
        </is>
      </c>
      <c r="F28" s="28" t="n"/>
      <c r="G28" s="28" t="n"/>
      <c r="H28" s="30" t="n"/>
      <c r="I28" s="30" t="n"/>
      <c r="J28" s="31">
        <f>IF(AND(ISNUMBER(H28),ISNUMBER(I28)),H28-I28,"")</f>
        <v/>
      </c>
      <c r="K28" s="28" t="n"/>
    </row>
    <row r="29" ht="15" customHeight="1" s="17">
      <c r="A29" s="27" t="n">
        <v>3</v>
      </c>
      <c r="B29" s="27" t="n">
        <v>7</v>
      </c>
      <c r="C29" s="27" t="inlineStr">
        <is>
          <t>EGNA</t>
        </is>
      </c>
      <c r="D29" s="27" t="n"/>
      <c r="E29" s="27" t="inlineStr">
        <is>
          <t>Bases HHblits/BLAST</t>
        </is>
      </c>
      <c r="F29" s="28" t="n"/>
      <c r="G29" s="28" t="n"/>
      <c r="H29" s="30" t="n"/>
      <c r="I29" s="30" t="n"/>
      <c r="J29" s="31">
        <f>IF(AND(ISNUMBER(H29),ISNUMBER(I29)),H29-I29,"")</f>
        <v/>
      </c>
      <c r="K29" s="28" t="n"/>
    </row>
    <row r="30" ht="15" customHeight="1" s="17">
      <c r="A30" s="27" t="n">
        <v>3</v>
      </c>
      <c r="B30" s="27" t="n">
        <v>8</v>
      </c>
      <c r="C30" s="27" t="inlineStr">
        <is>
          <t>HydraScreen</t>
        </is>
      </c>
      <c r="D30" s="27" t="inlineStr">
        <is>
          <t>API con registro</t>
        </is>
      </c>
      <c r="E30" s="27" t="n"/>
      <c r="F30" s="28" t="n"/>
      <c r="G30" s="28" t="n"/>
      <c r="H30" s="30" t="n"/>
      <c r="I30" s="30" t="n"/>
      <c r="J30" s="31">
        <f>IF(AND(ISNUMBER(H30),ISNUMBER(I30)),H30-I30,"")</f>
        <v/>
      </c>
      <c r="K30" s="28" t="n"/>
    </row>
    <row r="31" ht="15" customHeight="1" s="17">
      <c r="A31" s="27" t="n">
        <v>3</v>
      </c>
      <c r="B31" s="27" t="n">
        <v>9</v>
      </c>
      <c r="C31" s="27" t="inlineStr">
        <is>
          <t>P3-Score</t>
        </is>
      </c>
      <c r="D31" s="27" t="n"/>
      <c r="E31" s="27" t="inlineStr">
        <is>
          <t>Licencia de X-Score</t>
        </is>
      </c>
      <c r="F31" s="28" t="n"/>
      <c r="G31" s="28" t="n"/>
      <c r="H31" s="30" t="n"/>
      <c r="I31" s="30" t="n"/>
      <c r="J31" s="31">
        <f>IF(AND(ISNUMBER(H31),ISNUMBER(I31)),H31-I31,"")</f>
        <v/>
      </c>
      <c r="K31" s="28" t="n"/>
    </row>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2026-10-21T21:54:32Z</dcterms:modified>
  <cp:revision>0</cp:revision>
</cp:coreProperties>
</file>