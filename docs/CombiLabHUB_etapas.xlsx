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men" sheetId="1" state="visible" r:id="rId1"/>
    <sheet xmlns:r="http://schemas.openxmlformats.org/officeDocument/2006/relationships" name="Etapas" sheetId="2" state="visible" r:id="rId2"/>
    <sheet xmlns:r="http://schemas.openxmlformats.org/officeDocument/2006/relationships" name="Estado SF" sheetId="3" state="visible" r:id="rId3"/>
  </sheets>
  <definedNames>
    <definedName name="_xlnm._FilterDatabase" localSheetId="1" hidden="1">'Etapas'!$A$4:$J$33</definedName>
    <definedName name="_xlnm._FilterDatabase" localSheetId="2" hidden="1">'Estado SF'!$A$4:$K$31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0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color rgb="FFFFFFFF"/>
      <sz val="11"/>
    </font>
    <font>
      <name val="Arial"/>
      <charset val="1"/>
      <family val="0"/>
      <sz val="11"/>
    </font>
    <font>
      <name val="Arial"/>
      <charset val="1"/>
      <family val="0"/>
      <b val="1"/>
      <sz val="11"/>
    </font>
    <font>
      <name val="Arial"/>
      <charset val="1"/>
      <family val="0"/>
      <i val="1"/>
      <color rgb="FF595959"/>
      <sz val="11"/>
    </font>
  </fonts>
  <fills count="4">
    <fill>
      <patternFill/>
    </fill>
    <fill>
      <patternFill patternType="gray125"/>
    </fill>
    <fill>
      <patternFill patternType="solid">
        <fgColor rgb="FF1F4E78"/>
        <bgColor rgb="FF003366"/>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center" wrapText="1"/>
    </xf>
    <xf numFmtId="0" fontId="6" fillId="0" borderId="1" applyAlignment="1" pivotButton="0" quotePrefix="0" xfId="0">
      <alignment horizontal="general" vertical="bottom"/>
    </xf>
    <xf numFmtId="9" fontId="6" fillId="0" borderId="1" applyAlignment="1" pivotButton="0" quotePrefix="0" xfId="0">
      <alignment horizontal="general" vertical="bottom"/>
    </xf>
    <xf numFmtId="0" fontId="7" fillId="0" borderId="1" applyAlignment="1" pivotButton="0" quotePrefix="0" xfId="0">
      <alignment horizontal="general" vertical="bottom"/>
    </xf>
    <xf numFmtId="9" fontId="7" fillId="0" borderId="1" applyAlignment="1" pivotButton="0" quotePrefix="0" xfId="0">
      <alignment horizontal="general" vertical="bottom"/>
    </xf>
    <xf numFmtId="0" fontId="7" fillId="0" borderId="0" applyAlignment="1" pivotButton="0" quotePrefix="0" xfId="0">
      <alignment horizontal="general" vertical="bottom"/>
    </xf>
    <xf numFmtId="0" fontId="5" fillId="0" borderId="1" applyAlignment="1" pivotButton="0" quotePrefix="0" xfId="0">
      <alignment horizontal="general" vertical="center" wrapText="1"/>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164" fontId="6" fillId="3" borderId="1" applyAlignment="1" pivotButton="0" quotePrefix="0" xfId="0">
      <alignment horizontal="general" vertical="top" wrapText="1"/>
    </xf>
    <xf numFmtId="165" fontId="6" fillId="3" borderId="1" applyAlignment="1" pivotButton="0" quotePrefix="0" xfId="0">
      <alignment horizontal="general" vertical="top" wrapText="1"/>
    </xf>
    <xf numFmtId="165"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center" wrapText="1"/>
    </xf>
    <xf numFmtId="0" fontId="6" fillId="0" borderId="1" applyAlignment="1" pivotButton="0" quotePrefix="0" xfId="0">
      <alignment horizontal="general" vertical="bottom"/>
    </xf>
    <xf numFmtId="9" fontId="6" fillId="0" borderId="1" applyAlignment="1" pivotButton="0" quotePrefix="0" xfId="0">
      <alignment horizontal="general" vertical="bottom"/>
    </xf>
    <xf numFmtId="0" fontId="7" fillId="0" borderId="1" applyAlignment="1" pivotButton="0" quotePrefix="0" xfId="0">
      <alignment horizontal="general" vertical="bottom"/>
    </xf>
    <xf numFmtId="9" fontId="7" fillId="0" borderId="1" applyAlignment="1" pivotButton="0" quotePrefix="0" xfId="0">
      <alignment horizontal="general" vertical="bottom"/>
    </xf>
    <xf numFmtId="0" fontId="7" fillId="0" borderId="0" applyAlignment="1" pivotButton="0" quotePrefix="0" xfId="0">
      <alignment horizontal="general" vertical="bottom"/>
    </xf>
    <xf numFmtId="0" fontId="5" fillId="0" borderId="1" applyAlignment="1" pivotButton="0" quotePrefix="0" xfId="0">
      <alignment horizontal="general" vertical="center" wrapText="1"/>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164" fontId="6" fillId="3" borderId="1" applyAlignment="1" pivotButton="0" quotePrefix="0" xfId="0">
      <alignment horizontal="general" vertical="top" wrapText="1"/>
    </xf>
    <xf numFmtId="165" fontId="6" fillId="3" borderId="1" applyAlignment="1" pivotButton="0" quotePrefix="0" xfId="0">
      <alignment horizontal="general" vertical="top" wrapText="1"/>
    </xf>
    <xf numFmtId="165"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bgColor rgb="FFF2F2F2"/>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6" min="1" max="1"/>
    <col width="10" customWidth="1" style="16" min="2" max="2"/>
    <col width="13" customWidth="1" style="16" min="3" max="4"/>
    <col width="12" customWidth="1" style="16" min="5" max="5"/>
    <col width="11" customWidth="1" style="16" min="6" max="6"/>
  </cols>
  <sheetData>
    <row r="1" ht="17.25" customHeight="1" s="17">
      <c r="A1" s="18" t="inlineStr">
        <is>
          <t>CombiLabHUB – Resumen de avance</t>
        </is>
      </c>
    </row>
    <row r="3" ht="26.25" customHeight="1" s="17">
      <c r="A3" s="19" t="inlineStr">
        <is>
          <t>Etapa</t>
        </is>
      </c>
      <c r="B3" s="19" t="inlineStr">
        <is>
          <t>Tareas</t>
        </is>
      </c>
      <c r="C3" s="19" t="inlineStr">
        <is>
          <t>Completadas</t>
        </is>
      </c>
      <c r="D3" s="19" t="inlineStr">
        <is>
          <t>En progreso</t>
        </is>
      </c>
      <c r="E3" s="19" t="inlineStr">
        <is>
          <t>Pendientes</t>
        </is>
      </c>
      <c r="F3" s="19" t="inlineStr">
        <is>
          <t>% avance</t>
        </is>
      </c>
    </row>
    <row r="4" ht="15" customHeight="1" s="17">
      <c r="A4" s="20" t="inlineStr">
        <is>
          <t>0. Preparación del entorno</t>
        </is>
      </c>
      <c r="B4" s="20">
        <f>COUNTIF(Etapas!$B$5:$B$40,A4)</f>
        <v/>
      </c>
      <c r="C4" s="20">
        <f>COUNTIFS(Etapas!$B$5:$B$40,A4,Etapas!$F$5:$F$40,"Completada")</f>
        <v/>
      </c>
      <c r="D4" s="20">
        <f>COUNTIFS(Etapas!$B$5:$B$40,A4,Etapas!$F$5:$F$40,"En progreso")</f>
        <v/>
      </c>
      <c r="E4" s="20">
        <f>COUNTIFS(Etapas!$B$5:$B$40,A4,Etapas!$F$5:$F$40,"Pendiente")</f>
        <v/>
      </c>
      <c r="F4" s="21">
        <f>IF(B4=0,0,C4/B4)</f>
        <v/>
      </c>
    </row>
    <row r="5" ht="15" customHeight="1" s="17">
      <c r="A5" s="20" t="inlineStr">
        <is>
          <t>1. Relevamiento de SF</t>
        </is>
      </c>
      <c r="B5" s="20">
        <f>COUNTIF(Etapas!$B$5:$B$40,A5)</f>
        <v/>
      </c>
      <c r="C5" s="20">
        <f>COUNTIFS(Etapas!$B$5:$B$40,A5,Etapas!$F$5:$F$40,"Completada")</f>
        <v/>
      </c>
      <c r="D5" s="20">
        <f>COUNTIFS(Etapas!$B$5:$B$40,A5,Etapas!$F$5:$F$40,"En progreso")</f>
        <v/>
      </c>
      <c r="E5" s="20">
        <f>COUNTIFS(Etapas!$B$5:$B$40,A5,Etapas!$F$5:$F$40,"Pendiente")</f>
        <v/>
      </c>
      <c r="F5" s="21">
        <f>IF(B5=0,0,C5/B5)</f>
        <v/>
      </c>
    </row>
    <row r="6" ht="15" customHeight="1" s="17">
      <c r="A6" s="20" t="inlineStr">
        <is>
          <t>2. Descarga de código</t>
        </is>
      </c>
      <c r="B6" s="20">
        <f>COUNTIF(Etapas!$B$5:$B$40,A6)</f>
        <v/>
      </c>
      <c r="C6" s="20">
        <f>COUNTIFS(Etapas!$B$5:$B$40,A6,Etapas!$F$5:$F$40,"Completada")</f>
        <v/>
      </c>
      <c r="D6" s="20">
        <f>COUNTIFS(Etapas!$B$5:$B$40,A6,Etapas!$F$5:$F$40,"En progreso")</f>
        <v/>
      </c>
      <c r="E6" s="20">
        <f>COUNTIFS(Etapas!$B$5:$B$40,A6,Etapas!$F$5:$F$40,"Pendiente")</f>
        <v/>
      </c>
      <c r="F6" s="21">
        <f>IF(B6=0,0,C6/B6)</f>
        <v/>
      </c>
    </row>
    <row r="7" ht="15" customHeight="1" s="17">
      <c r="A7" s="20" t="inlineStr">
        <is>
          <t>3. Ranking para probar sin reentrenar</t>
        </is>
      </c>
      <c r="B7" s="20">
        <f>COUNTIF(Etapas!$B$5:$B$40,A7)</f>
        <v/>
      </c>
      <c r="C7" s="20">
        <f>COUNTIFS(Etapas!$B$5:$B$40,A7,Etapas!$F$5:$F$40,"Completada")</f>
        <v/>
      </c>
      <c r="D7" s="20">
        <f>COUNTIFS(Etapas!$B$5:$B$40,A7,Etapas!$F$5:$F$40,"En progreso")</f>
        <v/>
      </c>
      <c r="E7" s="20">
        <f>COUNTIFS(Etapas!$B$5:$B$40,A7,Etapas!$F$5:$F$40,"Pendiente")</f>
        <v/>
      </c>
      <c r="F7" s="21">
        <f>IF(B7=0,0,C7/B7)</f>
        <v/>
      </c>
    </row>
    <row r="8" ht="15" customHeight="1" s="17">
      <c r="A8" s="20" t="inlineStr">
        <is>
          <t>4. Framework CombiLabHUB</t>
        </is>
      </c>
      <c r="B8" s="20">
        <f>COUNTIF(Etapas!$B$5:$B$40,A8)</f>
        <v/>
      </c>
      <c r="C8" s="20">
        <f>COUNTIFS(Etapas!$B$5:$B$40,A8,Etapas!$F$5:$F$40,"Completada")</f>
        <v/>
      </c>
      <c r="D8" s="20">
        <f>COUNTIFS(Etapas!$B$5:$B$40,A8,Etapas!$F$5:$F$40,"En progreso")</f>
        <v/>
      </c>
      <c r="E8" s="20">
        <f>COUNTIFS(Etapas!$B$5:$B$40,A8,Etapas!$F$5:$F$40,"Pendiente")</f>
        <v/>
      </c>
      <c r="F8" s="21">
        <f>IF(B8=0,0,C8/B8)</f>
        <v/>
      </c>
    </row>
    <row r="9" ht="15" customHeight="1" s="17">
      <c r="A9" s="20" t="inlineStr">
        <is>
          <t>5. Pruebas Nivel 1 (CPU, modelo listo)</t>
        </is>
      </c>
      <c r="B9" s="20">
        <f>COUNTIF(Etapas!$B$5:$B$40,A9)</f>
        <v/>
      </c>
      <c r="C9" s="20">
        <f>COUNTIFS(Etapas!$B$5:$B$40,A9,Etapas!$F$5:$F$40,"Completada")</f>
        <v/>
      </c>
      <c r="D9" s="20">
        <f>COUNTIFS(Etapas!$B$5:$B$40,A9,Etapas!$F$5:$F$40,"En progreso")</f>
        <v/>
      </c>
      <c r="E9" s="20">
        <f>COUNTIFS(Etapas!$B$5:$B$40,A9,Etapas!$F$5:$F$40,"Pendiente")</f>
        <v/>
      </c>
      <c r="F9" s="21">
        <f>IF(B9=0,0,C9/B9)</f>
        <v/>
      </c>
    </row>
    <row r="10" ht="15" customHeight="1" s="17">
      <c r="A10" s="20" t="inlineStr">
        <is>
          <t>6. Pruebas Nivel 2 (pasos extra)</t>
        </is>
      </c>
      <c r="B10" s="20">
        <f>COUNTIF(Etapas!$B$5:$B$40,A10)</f>
        <v/>
      </c>
      <c r="C10" s="20">
        <f>COUNTIFS(Etapas!$B$5:$B$40,A10,Etapas!$F$5:$F$40,"Completada")</f>
        <v/>
      </c>
      <c r="D10" s="20">
        <f>COUNTIFS(Etapas!$B$5:$B$40,A10,Etapas!$F$5:$F$40,"En progreso")</f>
        <v/>
      </c>
      <c r="E10" s="20">
        <f>COUNTIFS(Etapas!$B$5:$B$40,A10,Etapas!$F$5:$F$40,"Pendiente")</f>
        <v/>
      </c>
      <c r="F10" s="21">
        <f>IF(B10=0,0,C10/B10)</f>
        <v/>
      </c>
    </row>
    <row r="11" ht="15" customHeight="1" s="17">
      <c r="A11" s="20" t="inlineStr">
        <is>
          <t>7. Pruebas Nivel 3 (pesadas/complicadas)</t>
        </is>
      </c>
      <c r="B11" s="20">
        <f>COUNTIF(Etapas!$B$5:$B$40,A11)</f>
        <v/>
      </c>
      <c r="C11" s="20">
        <f>COUNTIFS(Etapas!$B$5:$B$40,A11,Etapas!$F$5:$F$40,"Completada")</f>
        <v/>
      </c>
      <c r="D11" s="20">
        <f>COUNTIFS(Etapas!$B$5:$B$40,A11,Etapas!$F$5:$F$40,"En progreso")</f>
        <v/>
      </c>
      <c r="E11" s="20">
        <f>COUNTIFS(Etapas!$B$5:$B$40,A11,Etapas!$F$5:$F$40,"Pendiente")</f>
        <v/>
      </c>
      <c r="F11" s="21">
        <f>IF(B11=0,0,C11/B11)</f>
        <v/>
      </c>
    </row>
    <row r="12" ht="15" customHeight="1" s="17">
      <c r="A12" s="20" t="inlineStr">
        <is>
          <t>8. Evaluación en CASF-2016</t>
        </is>
      </c>
      <c r="B12" s="20">
        <f>COUNTIF(Etapas!$B$5:$B$40,A12)</f>
        <v/>
      </c>
      <c r="C12" s="20">
        <f>COUNTIFS(Etapas!$B$5:$B$40,A12,Etapas!$F$5:$F$40,"Completada")</f>
        <v/>
      </c>
      <c r="D12" s="20">
        <f>COUNTIFS(Etapas!$B$5:$B$40,A12,Etapas!$F$5:$F$40,"En progreso")</f>
        <v/>
      </c>
      <c r="E12" s="20">
        <f>COUNTIFS(Etapas!$B$5:$B$40,A12,Etapas!$F$5:$F$40,"Pendiente")</f>
        <v/>
      </c>
      <c r="F12" s="21">
        <f>IF(B12=0,0,C12/B12)</f>
        <v/>
      </c>
    </row>
    <row r="13" ht="15" customHeight="1" s="17">
      <c r="A13" s="20" t="inlineStr">
        <is>
          <t>9. Interfaz</t>
        </is>
      </c>
      <c r="B13" s="20">
        <f>COUNTIF(Etapas!$B$5:$B$40,A13)</f>
        <v/>
      </c>
      <c r="C13" s="20">
        <f>COUNTIFS(Etapas!$B$5:$B$40,A13,Etapas!$F$5:$F$40,"Completada")</f>
        <v/>
      </c>
      <c r="D13" s="20">
        <f>COUNTIFS(Etapas!$B$5:$B$40,A13,Etapas!$F$5:$F$40,"En progreso")</f>
        <v/>
      </c>
      <c r="E13" s="20">
        <f>COUNTIFS(Etapas!$B$5:$B$40,A13,Etapas!$F$5:$F$40,"Pendiente")</f>
        <v/>
      </c>
      <c r="F13" s="21">
        <f>IF(B13=0,0,C13/B13)</f>
        <v/>
      </c>
    </row>
    <row r="14" ht="15" customHeight="1" s="17">
      <c r="A14" s="22" t="inlineStr">
        <is>
          <t>Total</t>
        </is>
      </c>
      <c r="B14" s="22">
        <f>SUM(B4:B13)</f>
        <v/>
      </c>
      <c r="C14" s="22">
        <f>SUM(C4:C13)</f>
        <v/>
      </c>
      <c r="D14" s="22">
        <f>SUM(D4:D13)</f>
        <v/>
      </c>
      <c r="E14" s="22">
        <f>SUM(E4:E13)</f>
        <v/>
      </c>
      <c r="F14" s="23">
        <f>IF(B14=0,0,C14/B14)</f>
        <v/>
      </c>
    </row>
    <row r="16" ht="15" customHeight="1" s="17">
      <c r="A16" s="24" t="inlineStr">
        <is>
          <t>Scoring functions</t>
        </is>
      </c>
    </row>
    <row r="17" ht="15" customHeight="1" s="17">
      <c r="A17" s="19" t="inlineStr">
        <is>
          <t>Nivel</t>
        </is>
      </c>
      <c r="B17" s="19" t="inlineStr">
        <is>
          <t>SF</t>
        </is>
      </c>
      <c r="C17" s="19" t="inlineStr">
        <is>
          <t>Instaladas</t>
        </is>
      </c>
      <c r="D17" s="19" t="inlineStr">
        <is>
          <t>Corren</t>
        </is>
      </c>
      <c r="E17" s="19" t="inlineStr">
        <is>
          <t>Con PCC</t>
        </is>
      </c>
      <c r="F17" s="25" t="n"/>
    </row>
    <row r="18" ht="15" customHeight="1" s="17">
      <c r="A18" s="20" t="inlineStr">
        <is>
          <t>Nivel 1</t>
        </is>
      </c>
      <c r="B18" s="20">
        <f>COUNTIF('Estado SF'!$A$5:$A$31,1)</f>
        <v/>
      </c>
      <c r="C18" s="20">
        <f>COUNTIFS('Estado SF'!$A$5:$A$31,1,'Estado SF'!$F$5:$F$31,"Sí")</f>
        <v/>
      </c>
      <c r="D18" s="20">
        <f>COUNTIFS('Estado SF'!$A$5:$A$31,1,'Estado SF'!$G$5:$G$31,"Sí")</f>
        <v/>
      </c>
      <c r="E18" s="20">
        <f>SUMPRODUCT(('Estado SF'!$A$5:$A$31=1)*ISNUMBER('Estado SF'!$H$5:$H$31))</f>
        <v/>
      </c>
    </row>
    <row r="19" ht="15" customHeight="1" s="17">
      <c r="A19" s="20" t="inlineStr">
        <is>
          <t>Nivel 2</t>
        </is>
      </c>
      <c r="B19" s="20">
        <f>COUNTIF('Estado SF'!$A$5:$A$31,2)</f>
        <v/>
      </c>
      <c r="C19" s="20">
        <f>COUNTIFS('Estado SF'!$A$5:$A$31,2,'Estado SF'!$F$5:$F$31,"Sí")</f>
        <v/>
      </c>
      <c r="D19" s="20">
        <f>COUNTIFS('Estado SF'!$A$5:$A$31,2,'Estado SF'!$G$5:$G$31,"Sí")</f>
        <v/>
      </c>
      <c r="E19" s="20">
        <f>SUMPRODUCT(('Estado SF'!$A$5:$A$31=2)*ISNUMBER('Estado SF'!$H$5:$H$31))</f>
        <v/>
      </c>
    </row>
    <row r="20" ht="15" customHeight="1" s="17">
      <c r="A20" s="20" t="inlineStr">
        <is>
          <t>Nivel 3</t>
        </is>
      </c>
      <c r="B20" s="20">
        <f>COUNTIF('Estado SF'!$A$5:$A$31,3)</f>
        <v/>
      </c>
      <c r="C20" s="20">
        <f>COUNTIFS('Estado SF'!$A$5:$A$31,3,'Estado SF'!$F$5:$F$31,"Sí")</f>
        <v/>
      </c>
      <c r="D20" s="20">
        <f>COUNTIFS('Estado SF'!$A$5:$A$31,3,'Estado SF'!$G$5:$G$31,"Sí")</f>
        <v/>
      </c>
      <c r="E20" s="20">
        <f>SUMPRODUCT(('Estado SF'!$A$5:$A$31=3)*ISNUMBER('Estado SF'!$H$5:$H$31))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6" min="1" max="1"/>
    <col width="30" customWidth="1" style="16" min="2" max="2"/>
    <col width="38" customWidth="1" style="16" min="3" max="3"/>
    <col width="60" customWidth="1" style="16" min="4" max="4"/>
    <col width="11" customWidth="1" style="16" min="5" max="5"/>
    <col width="14" customWidth="1" style="16" min="6" max="7"/>
    <col width="12" customWidth="1" style="16" min="8" max="9"/>
    <col width="40" customWidth="1" style="16" min="10" max="10"/>
  </cols>
  <sheetData>
    <row r="1" ht="17.25" customHeight="1" s="17">
      <c r="A1" s="18" t="inlineStr">
        <is>
          <t>CombiLabHUB – Etapas del proyecto (evaluación de scoring functions en CASF-2016)</t>
        </is>
      </c>
    </row>
    <row r="2" ht="15" customHeight="1" s="17">
      <c r="A2" s="26" t="inlineStr">
        <is>
          <t>Fuente: MEMORIA_PROYECTO_SF.md y REQUISITOS_PRUEBAS_SF.txt (18/10/2026). Celdas amarillas = para completar (Estado, Responsable, Fechas, Notas).</t>
        </is>
      </c>
    </row>
    <row r="3"/>
    <row r="4" ht="26.25" customHeight="1" s="17">
      <c r="A4" s="19" t="inlineStr">
        <is>
          <t>ID</t>
        </is>
      </c>
      <c r="B4" s="19" t="inlineStr">
        <is>
          <t>Etapa</t>
        </is>
      </c>
      <c r="C4" s="19" t="inlineStr">
        <is>
          <t>Tarea</t>
        </is>
      </c>
      <c r="D4" s="19" t="inlineStr">
        <is>
          <t>Detalle / entregable</t>
        </is>
      </c>
      <c r="E4" s="19" t="inlineStr">
        <is>
          <t>Depende de</t>
        </is>
      </c>
      <c r="F4" s="19" t="inlineStr">
        <is>
          <t>Estado</t>
        </is>
      </c>
      <c r="G4" s="19" t="inlineStr">
        <is>
          <t>Responsable</t>
        </is>
      </c>
      <c r="H4" s="19" t="inlineStr">
        <is>
          <t>Inicio</t>
        </is>
      </c>
      <c r="I4" s="19" t="inlineStr">
        <is>
          <t>Fin</t>
        </is>
      </c>
      <c r="J4" s="19" t="inlineStr">
        <is>
          <t>Notas</t>
        </is>
      </c>
    </row>
    <row r="5" ht="26.25" customHeight="1" s="17">
      <c r="A5" s="27" t="inlineStr">
        <is>
          <t>0.1</t>
        </is>
      </c>
      <c r="B5" s="27" t="inlineStr">
        <is>
          <t>0. Preparación del entorno</t>
        </is>
      </c>
      <c r="C5" s="27" t="inlineStr">
        <is>
          <t>Instalar Miniconda (o Docker Desktop + WSL2)</t>
        </is>
      </c>
      <c r="D5" s="27" t="inlineStr">
        <is>
          <t>Miniconda recomendado; Docker para SF con MGLTools/Chimera/PyMOL</t>
        </is>
      </c>
      <c r="E5" s="27" t="n"/>
      <c r="F5" s="28" t="inlineStr">
        <is>
          <t>Completada</t>
        </is>
      </c>
      <c r="G5" s="28" t="n"/>
      <c r="H5" s="29" t="n">
        <v>46314</v>
      </c>
      <c r="I5" s="29" t="n">
        <v>46314</v>
      </c>
      <c r="J5" s="28" t="inlineStr">
        <is>
          <t>Miniconda instalado en C:\Users\Admin\miniconda3 (conda 26.9.3, Python 3.14.8, solver libmamba incluido) | 21/10/2026: Docker Desktop 4.96.1 + WSL 2 instalados (necesarios para delta_LinF9_XGB y SF solo-Linux)</t>
        </is>
      </c>
    </row>
    <row r="6" ht="26.25" customHeight="1" s="17">
      <c r="A6" s="27" t="inlineStr">
        <is>
          <t>0.2</t>
        </is>
      </c>
      <c r="B6" s="27" t="inlineStr">
        <is>
          <t>0. Preparación del entorno</t>
        </is>
      </c>
      <c r="C6" s="27" t="inlineStr">
        <is>
          <t>Informar GPU</t>
        </is>
      </c>
      <c r="D6" s="27" t="inlineStr">
        <is>
          <t>Indicar si hay NVIDIA y modelo (Dynaformer, PIGNet2, HAC-Net la necesitan)</t>
        </is>
      </c>
      <c r="E6" s="27" t="n"/>
      <c r="F6" s="28" t="inlineStr">
        <is>
          <t>Completada</t>
        </is>
      </c>
      <c r="G6" s="28" t="n"/>
      <c r="H6" s="29" t="n">
        <v>46314</v>
      </c>
      <c r="I6" s="29" t="n">
        <v>46314</v>
      </c>
      <c r="J6" s="28" t="inlineStr">
        <is>
          <t>NVIDIA Quadro P620 (Pascal, 4 GB VRAM, compute 6.1), driver 573.44 + Intel UHD integrada; 31,6 GB RAM. Usar builds de PyTorch cu118/cu126 (las cu128 no soportan Pascal). 4 GB limita a las SF pesadas del Nivel 3</t>
        </is>
      </c>
    </row>
    <row r="7" ht="15" customHeight="1" s="17">
      <c r="A7" s="27" t="inlineStr">
        <is>
          <t>0.3</t>
        </is>
      </c>
      <c r="B7" s="27" t="inlineStr">
        <is>
          <t>0. Preparación del entorno</t>
        </is>
      </c>
      <c r="C7" s="27" t="inlineStr">
        <is>
          <t>Liberar espacio en disco</t>
        </is>
      </c>
      <c r="D7" s="27" t="inlineStr">
        <is>
          <t>~100 GB, o instalar por tandas y borrar entornos probados</t>
        </is>
      </c>
      <c r="E7" s="27" t="n"/>
      <c r="F7" s="28" t="inlineStr">
        <is>
          <t>Completada</t>
        </is>
      </c>
      <c r="G7" s="28" t="n"/>
      <c r="H7" s="29" t="n">
        <v>46314</v>
      </c>
      <c r="I7" s="29" t="n">
        <v>46314</v>
      </c>
      <c r="J7" s="28" t="inlineStr">
        <is>
          <t>284 GB libres en el disco (más que los ~100 GB necesarios)</t>
        </is>
      </c>
    </row>
    <row r="8" ht="15" customHeight="1" s="17">
      <c r="A8" s="27" t="inlineStr">
        <is>
          <t>0.4</t>
        </is>
      </c>
      <c r="B8" s="27" t="inlineStr">
        <is>
          <t>0. Preparación del entorno</t>
        </is>
      </c>
      <c r="C8" s="27" t="inlineStr">
        <is>
          <t>Descargar CASF-2016</t>
        </is>
      </c>
      <c r="D8" s="27" t="inlineStr">
        <is>
          <t>Desde PDBbind (requiere registro); dejarlo en SOFTWARE SF</t>
        </is>
      </c>
      <c r="E8" s="27" t="n"/>
      <c r="F8" s="28" t="inlineStr">
        <is>
          <t>Completada</t>
        </is>
      </c>
      <c r="G8" s="28" t="n"/>
      <c r="H8" s="29" t="n">
        <v>46314</v>
      </c>
      <c r="I8" s="29" t="n">
        <v>46314</v>
      </c>
      <c r="J8" s="28" t="inlineStr">
        <is>
          <t>Descomprimido en SOFTWARE SF\CASF-2016\CASF-2016 (30.271 archivos verificados contra el .tar.gz; coreset con 285 complejos)</t>
        </is>
      </c>
    </row>
    <row r="9" ht="26.25" customHeight="1" s="17">
      <c r="A9" s="27" t="inlineStr">
        <is>
          <t>0.5</t>
        </is>
      </c>
      <c r="B9" s="27" t="inlineStr">
        <is>
          <t>0. Preparación del entorno</t>
        </is>
      </c>
      <c r="C9" s="27" t="inlineStr">
        <is>
          <t>Habilitar dominios (opcional)</t>
        </is>
      </c>
      <c r="D9" s="27" t="inlineStr">
        <is>
          <t>conda.anaconda.org, zenodo.org, figshare.com, drive.google.com, onedrive.live.com</t>
        </is>
      </c>
      <c r="E9" s="27" t="n"/>
      <c r="F9" s="28" t="inlineStr">
        <is>
          <t>Completada</t>
        </is>
      </c>
      <c r="G9" s="28" t="n"/>
      <c r="H9" s="29" t="n">
        <v>46314</v>
      </c>
      <c r="I9" s="29" t="n">
        <v>46314</v>
      </c>
      <c r="J9" s="28" t="inlineStr">
        <is>
          <t>Verificado 19/10/2026: conda.anaconda.org, zenodo.org, figshare.com, drive.google.com y onedrive.live.com accesibles desde la nube</t>
        </is>
      </c>
    </row>
    <row r="10" ht="15" customHeight="1" s="17">
      <c r="A10" s="27" t="inlineStr">
        <is>
          <t>1.1</t>
        </is>
      </c>
      <c r="B10" s="27" t="inlineStr">
        <is>
          <t>1. Relevamiento de SF</t>
        </is>
      </c>
      <c r="C10" s="27" t="inlineStr">
        <is>
          <t>Extraer tabla de 49 SF del PPTX</t>
        </is>
      </c>
      <c r="D10" s="27" t="inlineStr">
        <is>
          <t>Scoring_functions_descargadas.xlsx (ES/EN/PT)</t>
        </is>
      </c>
      <c r="E10" s="27" t="n"/>
      <c r="F10" s="28" t="inlineStr">
        <is>
          <t>Completada</t>
        </is>
      </c>
      <c r="G10" s="28" t="n"/>
      <c r="H10" s="29" t="n"/>
      <c r="I10" s="29" t="n"/>
      <c r="J10" s="28" t="n"/>
    </row>
    <row r="11" ht="26.25" customHeight="1" s="17">
      <c r="A11" s="27" t="inlineStr">
        <is>
          <t>1.2</t>
        </is>
      </c>
      <c r="B11" s="27" t="inlineStr">
        <is>
          <t>1. Relevamiento de SF</t>
        </is>
      </c>
      <c r="C11" s="27" t="inlineStr">
        <is>
          <t>Investigar 7 columnas extra</t>
        </is>
      </c>
      <c r="D11" s="27" t="inlineStr">
        <is>
          <t>Dataset, tamaño, tipo, algoritmo, descriptores, feature selection, algoritmo de selección + fuente y confianza</t>
        </is>
      </c>
      <c r="E11" s="27" t="inlineStr">
        <is>
          <t>1.1</t>
        </is>
      </c>
      <c r="F11" s="28" t="inlineStr">
        <is>
          <t>Completada</t>
        </is>
      </c>
      <c r="G11" s="28" t="n"/>
      <c r="H11" s="29" t="n"/>
      <c r="I11" s="29" t="n"/>
      <c r="J11" s="28" t="inlineStr">
        <is>
          <t>33 Alta, 8 Media, 8 Baja confianza</t>
        </is>
      </c>
    </row>
    <row r="12" ht="15" customHeight="1" s="17">
      <c r="A12" s="27" t="inlineStr">
        <is>
          <t>2.1</t>
        </is>
      </c>
      <c r="B12" s="27" t="inlineStr">
        <is>
          <t>2. Descarga de código</t>
        </is>
      </c>
      <c r="C12" s="27" t="inlineStr">
        <is>
          <t>Descargar repos de las 49 SF</t>
        </is>
      </c>
      <c r="D12" s="27" t="inlineStr">
        <is>
          <t>Funciones_Score_Tabla1/ + INDICE_funciones_score.csv</t>
        </is>
      </c>
      <c r="E12" s="27" t="inlineStr">
        <is>
          <t>1.1</t>
        </is>
      </c>
      <c r="F12" s="28" t="inlineStr">
        <is>
          <t>Completada</t>
        </is>
      </c>
      <c r="G12" s="28" t="n"/>
      <c r="H12" s="29" t="n"/>
      <c r="I12" s="29" t="n"/>
      <c r="J12" s="28" t="n"/>
    </row>
    <row r="13" ht="15" customHeight="1" s="17">
      <c r="A13" s="27" t="inlineStr">
        <is>
          <t>2.2</t>
        </is>
      </c>
      <c r="B13" s="27" t="inlineStr">
        <is>
          <t>2. Descarga de código</t>
        </is>
      </c>
      <c r="C13" s="27" t="inlineStr">
        <is>
          <t>Descargar SF de Su et al. 2019</t>
        </is>
      </c>
      <c r="D13" s="27" t="inlineStr">
        <is>
          <t>Vina, ΔVinaRF20, vina4dv en Funciones_Score_Su2018/</t>
        </is>
      </c>
      <c r="E13" s="27" t="n"/>
      <c r="F13" s="28" t="inlineStr">
        <is>
          <t>Completada</t>
        </is>
      </c>
      <c r="G13" s="28" t="n"/>
      <c r="H13" s="29" t="n"/>
      <c r="I13" s="29" t="n"/>
      <c r="J13" s="28" t="n"/>
    </row>
    <row r="14" ht="15" customHeight="1" s="17">
      <c r="A14" s="27" t="inlineStr">
        <is>
          <t>2.3</t>
        </is>
      </c>
      <c r="B14" s="27" t="inlineStr">
        <is>
          <t>2. Descarga de código</t>
        </is>
      </c>
      <c r="C14" s="27" t="inlineStr">
        <is>
          <t>Pendientes de descarga</t>
        </is>
      </c>
      <c r="D14" s="27" t="inlineStr">
        <is>
          <t>DAAP y LigityScore (GitLab); MSSDTA sin código público</t>
        </is>
      </c>
      <c r="E14" s="27" t="inlineStr">
        <is>
          <t>2.1</t>
        </is>
      </c>
      <c r="F14" s="28" t="inlineStr">
        <is>
          <t>Pendiente</t>
        </is>
      </c>
      <c r="G14" s="28" t="n"/>
      <c r="H14" s="29" t="n"/>
      <c r="I14" s="29" t="n"/>
      <c r="J14" s="28" t="n"/>
    </row>
    <row r="15" ht="15" customHeight="1" s="17">
      <c r="A15" s="27" t="inlineStr">
        <is>
          <t>2.4</t>
        </is>
      </c>
      <c r="B15" s="27" t="inlineStr">
        <is>
          <t>2. Descarga de código</t>
        </is>
      </c>
      <c r="C15" s="27" t="inlineStr">
        <is>
          <t>Verificar et_score.sav en Files.7z</t>
        </is>
      </c>
      <c r="D15" s="27" t="inlineStr">
        <is>
          <t>Confirmar modelo de ET-Score</t>
        </is>
      </c>
      <c r="E15" s="27" t="inlineStr">
        <is>
          <t>2.1</t>
        </is>
      </c>
      <c r="F15" s="28" t="inlineStr">
        <is>
          <t>Completada</t>
        </is>
      </c>
      <c r="G15" s="28" t="n"/>
      <c r="H15" s="29" t="n">
        <v>46314</v>
      </c>
      <c r="I15" s="29" t="n">
        <v>46314</v>
      </c>
      <c r="J15" s="28" t="inlineStr">
        <is>
          <t>19/10/2026: et_score.sav descargado de Figshare (10.6084/m9.figshare.23684538), MD5 c7c5865d… verificado; no hace falta Files.7z</t>
        </is>
      </c>
    </row>
    <row r="16" ht="26.25" customHeight="1" s="17">
      <c r="A16" s="27" t="inlineStr">
        <is>
          <t>3.1</t>
        </is>
      </c>
      <c r="B16" s="27" t="inlineStr">
        <is>
          <t>3. Ranking para probar sin reentrenar</t>
        </is>
      </c>
      <c r="C16" s="27" t="inlineStr">
        <is>
          <t>Clasificar SF por dificultad</t>
        </is>
      </c>
      <c r="D16" s="27" t="inlineStr">
        <is>
          <t>Nivel 1 (11), Nivel 2 (7), Nivel 3 (9), descartadas (20, sin modelo entrenado)</t>
        </is>
      </c>
      <c r="E16" s="27" t="inlineStr">
        <is>
          <t>2.1</t>
        </is>
      </c>
      <c r="F16" s="28" t="inlineStr">
        <is>
          <t>Completada</t>
        </is>
      </c>
      <c r="G16" s="28" t="n"/>
      <c r="H16" s="29" t="n"/>
      <c r="I16" s="29" t="n"/>
      <c r="J16" s="28" t="inlineStr">
        <is>
          <t xml:space="preserve"> | 21/10/2026: RFL-Score pasa del Nivel 3 al Nivel 1</t>
        </is>
      </c>
    </row>
    <row r="17" ht="26.25" customHeight="1" s="17">
      <c r="A17" s="27" t="inlineStr">
        <is>
          <t>4.1</t>
        </is>
      </c>
      <c r="B17" s="27" t="inlineStr">
        <is>
          <t>4. Framework CombiLabHUB</t>
        </is>
      </c>
      <c r="C17" s="27" t="inlineStr">
        <is>
          <t>Núcleo CLI + adaptadores Nivel 1</t>
        </is>
      </c>
      <c r="D17" s="27" t="inlineStr">
        <is>
          <t>Borrador en CombiLabHUB_borrador.tar.gz con commits upstream fijados</t>
        </is>
      </c>
      <c r="E17" s="27" t="inlineStr">
        <is>
          <t>3.1</t>
        </is>
      </c>
      <c r="F17" s="28" t="inlineStr">
        <is>
          <t>En progreso</t>
        </is>
      </c>
      <c r="G17" s="28" t="n"/>
      <c r="H17" s="29" t="n"/>
      <c r="I17" s="29" t="n"/>
      <c r="J17" s="28" t="inlineStr">
        <is>
          <t>Borrador hecho</t>
        </is>
      </c>
    </row>
    <row r="18" ht="26.25" customHeight="1" s="17">
      <c r="A18" s="27" t="inlineStr">
        <is>
          <t>4.2</t>
        </is>
      </c>
      <c r="B18" s="27" t="inlineStr">
        <is>
          <t>4. Framework CombiLabHUB</t>
        </is>
      </c>
      <c r="C18" s="27" t="inlineStr">
        <is>
          <t>Repositorio GitHub</t>
        </is>
      </c>
      <c r="D18" s="27" t="inlineStr">
        <is>
          <t>Temporal: oarrua88/combi_lab_hub_tmp; definitivo: combilab-furg/combi_lab_hub</t>
        </is>
      </c>
      <c r="E18" s="27" t="n"/>
      <c r="F18" s="28" t="inlineStr">
        <is>
          <t>En progreso</t>
        </is>
      </c>
      <c r="G18" s="28" t="n"/>
      <c r="H18" s="29" t="n"/>
      <c r="I18" s="29" t="n"/>
      <c r="J18" s="28" t="inlineStr">
        <is>
          <t>Esperando permiso al repo de la organización | 19/10/2026: GitHub vinculado a Claude; los push al repo temporal ya funcionan desde Claude</t>
        </is>
      </c>
    </row>
    <row r="19" ht="15" customHeight="1" s="17">
      <c r="A19" s="27" t="inlineStr">
        <is>
          <t>4.3</t>
        </is>
      </c>
      <c r="B19" s="27" t="inlineStr">
        <is>
          <t>4. Framework CombiLabHUB</t>
        </is>
      </c>
      <c r="C19" s="27" t="inlineStr">
        <is>
          <t>Subir el borrador al repo</t>
        </is>
      </c>
      <c r="D19" s="27" t="inlineStr">
        <is>
          <t>Descomprimir, git add, primer commit</t>
        </is>
      </c>
      <c r="E19" s="27" t="inlineStr">
        <is>
          <t>4.1, 4.2</t>
        </is>
      </c>
      <c r="F19" s="28" t="inlineStr">
        <is>
          <t>Completada</t>
        </is>
      </c>
      <c r="G19" s="28" t="n"/>
      <c r="H19" s="29" t="n"/>
      <c r="I19" s="29" t="n"/>
      <c r="J19" s="28" t="inlineStr">
        <is>
          <t>Superada: el código se subió plugin por plugin al repo temporal (commits del 19 y 20/10/2026)</t>
        </is>
      </c>
    </row>
    <row r="20" ht="15" customHeight="1" s="17">
      <c r="A20" s="27" t="inlineStr">
        <is>
          <t>4.4</t>
        </is>
      </c>
      <c r="B20" s="27" t="inlineStr">
        <is>
          <t>4. Framework CombiLabHUB</t>
        </is>
      </c>
      <c r="C20" s="27" t="inlineStr">
        <is>
          <t>Manifest de plugins</t>
        </is>
      </c>
      <c r="D20" s="27" t="inlineStr">
        <is>
          <t>Lista de SF con versión, entorno y commit upstream</t>
        </is>
      </c>
      <c r="E20" s="27" t="inlineStr">
        <is>
          <t>4.1</t>
        </is>
      </c>
      <c r="F20" s="28" t="inlineStr">
        <is>
          <t>Pendiente</t>
        </is>
      </c>
      <c r="G20" s="28" t="n"/>
      <c r="H20" s="29" t="n"/>
      <c r="I20" s="29" t="n"/>
      <c r="J20" s="28" t="n"/>
    </row>
    <row r="21" ht="15" customHeight="1" s="17">
      <c r="A21" s="27" t="inlineStr">
        <is>
          <t>4.5</t>
        </is>
      </c>
      <c r="B21" s="27" t="inlineStr">
        <is>
          <t>4. Framework CombiLabHUB</t>
        </is>
      </c>
      <c r="C21" s="27" t="inlineStr">
        <is>
          <t>environment.yml / Dockerfile por SF</t>
        </is>
      </c>
      <c r="D21" s="27" t="inlineStr">
        <is>
          <t>Un entorno reproducible por plugin</t>
        </is>
      </c>
      <c r="E21" s="27" t="inlineStr">
        <is>
          <t>4.1</t>
        </is>
      </c>
      <c r="F21" s="28" t="inlineStr">
        <is>
          <t>Completada</t>
        </is>
      </c>
      <c r="G21" s="28" t="n"/>
      <c r="H21" s="29" t="n">
        <v>46314</v>
      </c>
      <c r="I21" s="29" t="n">
        <v>46315</v>
      </c>
      <c r="J21" s="28" t="inlineStr">
        <is>
          <t>19/10/2026: hechos ET-Score, GB-Score, OnionNet-2, Sfcnn y PLANET | 20/10/2026: egGNN, GIGN, EHIGN-PLA, saCNN y DEAttentionDTA. Nivel 1 completo (10/10), environment.yml + Dockerfile con commit y MD5 fijados</t>
        </is>
      </c>
    </row>
    <row r="22" ht="15" customHeight="1" s="17">
      <c r="A22" s="27" t="inlineStr">
        <is>
          <t>4.6</t>
        </is>
      </c>
      <c r="B22" s="27" t="inlineStr">
        <is>
          <t>4. Framework CombiLabHUB</t>
        </is>
      </c>
      <c r="C22" s="27" t="inlineStr">
        <is>
          <t>setup.sh</t>
        </is>
      </c>
      <c r="D22" s="27" t="inlineStr">
        <is>
          <t>Script de instalación automatizada</t>
        </is>
      </c>
      <c r="E22" s="27" t="inlineStr">
        <is>
          <t>4.5</t>
        </is>
      </c>
      <c r="F22" s="28" t="inlineStr">
        <is>
          <t>Pendiente</t>
        </is>
      </c>
      <c r="G22" s="28" t="n"/>
      <c r="H22" s="29" t="n"/>
      <c r="I22" s="29" t="n"/>
      <c r="J22" s="28" t="n"/>
    </row>
    <row r="23" ht="15" customHeight="1" s="17">
      <c r="A23" s="27" t="inlineStr">
        <is>
          <t>4.7</t>
        </is>
      </c>
      <c r="B23" s="27" t="inlineStr">
        <is>
          <t>4. Framework CombiLabHUB</t>
        </is>
      </c>
      <c r="C23" s="27" t="inlineStr">
        <is>
          <t>INSTALAR.md por plugin</t>
        </is>
      </c>
      <c r="D23" s="27" t="inlineStr">
        <is>
          <t>Guía de instalación paso a paso</t>
        </is>
      </c>
      <c r="E23" s="27" t="inlineStr">
        <is>
          <t>4.5</t>
        </is>
      </c>
      <c r="F23" s="28" t="inlineStr">
        <is>
          <t>En progreso</t>
        </is>
      </c>
      <c r="G23" s="28" t="n"/>
      <c r="H23" s="29" t="n">
        <v>46314</v>
      </c>
      <c r="I23" s="29" t="n"/>
      <c r="J23" s="28" t="inlineStr">
        <is>
          <t>19/10/2026: ET-Score, GB-Score, OnionNet-2, Sfcnn y PLANET | 20/10/2026: egGNN, GIGN, EHIGN-PLA, saCNN y DEAttentionDTA. INSTALL.md + test_1a30.py + demo .bat para las 10 SF del Nivel 1 (en inglés)</t>
        </is>
      </c>
    </row>
    <row r="24" ht="15" customHeight="1" s="17">
      <c r="A24" s="27" t="inlineStr">
        <is>
          <t>4.8</t>
        </is>
      </c>
      <c r="B24" s="27" t="inlineStr">
        <is>
          <t>4. Framework CombiLabHUB</t>
        </is>
      </c>
      <c r="C24" s="27" t="inlineStr">
        <is>
          <t>README del proyecto</t>
        </is>
      </c>
      <c r="D24" s="27" t="inlineStr">
        <is>
          <t>Uso del CLI, estructura, cómo agregar una SF</t>
        </is>
      </c>
      <c r="E24" s="27" t="inlineStr">
        <is>
          <t>4.1</t>
        </is>
      </c>
      <c r="F24" s="28" t="inlineStr">
        <is>
          <t>Completada</t>
        </is>
      </c>
      <c r="G24" s="28" t="n"/>
      <c r="H24" s="29" t="n">
        <v>46316</v>
      </c>
      <c r="I24" s="29" t="n">
        <v>46316</v>
      </c>
      <c r="J24" s="28" t="inlineStr">
        <is>
          <t>21/10/2026: README.md con estructura, carpetas, uso rápido y cómo agregar una SF</t>
        </is>
      </c>
    </row>
    <row r="25" ht="26.25" customHeight="1" s="17">
      <c r="A25" s="27" t="inlineStr">
        <is>
          <t>5.1</t>
        </is>
      </c>
      <c r="B25" s="27" t="inlineStr">
        <is>
          <t>5. Pruebas Nivel 1 (CPU, modelo listo)</t>
        </is>
      </c>
      <c r="C25" s="27" t="inlineStr">
        <is>
          <t>ET-Score y GB-Score</t>
        </is>
      </c>
      <c r="D25" s="27" t="inlineStr">
        <is>
          <t>Mismo entorno scikit-learn; test con 1 complejo + core set CASF-2016</t>
        </is>
      </c>
      <c r="E25" s="27" t="inlineStr">
        <is>
          <t>0.4, 4.5</t>
        </is>
      </c>
      <c r="F25" s="28" t="inlineStr">
        <is>
          <t>En progreso</t>
        </is>
      </c>
      <c r="G25" s="28" t="n"/>
      <c r="H25" s="29" t="n">
        <v>46314</v>
      </c>
      <c r="I25" s="29" t="n"/>
      <c r="J25" s="28" t="inlineStr">
        <is>
          <t>Primeras a probar | 19/10/2026: ET-Score y GB-Score pasan el test con 1a30 (pKd 5.6837 y 5.6171). Falta correr el core set completo y calcular PCC | 21/10/2026: la corrida del core set completo queda reservada para el video (ver 8.1)</t>
        </is>
      </c>
    </row>
    <row r="26" ht="26.25" customHeight="1" s="17">
      <c r="A26" s="27" t="inlineStr">
        <is>
          <t>5.2</t>
        </is>
      </c>
      <c r="B26" s="27" t="inlineStr">
        <is>
          <t>5. Pruebas Nivel 1 (CPU, modelo listo)</t>
        </is>
      </c>
      <c r="C26" s="27" t="inlineStr">
        <is>
          <t>OnionNet-2 y SFCNN</t>
        </is>
      </c>
      <c r="D26" s="27" t="inlineStr">
        <is>
          <t>TensorFlow CPU (+ OpenBabel en SFCNN)</t>
        </is>
      </c>
      <c r="E26" s="27" t="inlineStr">
        <is>
          <t>5.1</t>
        </is>
      </c>
      <c r="F26" s="28" t="inlineStr">
        <is>
          <t>Completada</t>
        </is>
      </c>
      <c r="G26" s="28" t="n"/>
      <c r="H26" s="29" t="n">
        <v>46314</v>
      </c>
      <c r="I26" s="29" t="n">
        <v>46314</v>
      </c>
      <c r="J26" s="28" t="inlineStr">
        <is>
          <t>19/10/2026: OnionNet-2 (pKd 1a30 5.4568 con archivos de los autores / 5.8866 CASF) y Sfcnn (5.4721, igual a los autores; 74 poses de docking iguales) pasan el test con 1a30</t>
        </is>
      </c>
    </row>
    <row r="27" ht="26.25" customHeight="1" s="17">
      <c r="A27" s="27" t="inlineStr">
        <is>
          <t>5.3</t>
        </is>
      </c>
      <c r="B27" s="27" t="inlineStr">
        <is>
          <t>5. Pruebas Nivel 1 (CPU, modelo listo)</t>
        </is>
      </c>
      <c r="C27" s="27" t="inlineStr">
        <is>
          <t>Resto del Nivel 1</t>
        </is>
      </c>
      <c r="D27" s="27" t="inlineStr">
        <is>
          <t>PLANET, egGNN, GIGN, EHIGN-PLA, saCNN, DEAttentionDTA</t>
        </is>
      </c>
      <c r="E27" s="27" t="inlineStr">
        <is>
          <t>5.2</t>
        </is>
      </c>
      <c r="F27" s="28" t="inlineStr">
        <is>
          <t>Completada</t>
        </is>
      </c>
      <c r="G27" s="28" t="n"/>
      <c r="H27" s="29" t="n">
        <v>46314</v>
      </c>
      <c r="I27" s="29" t="n">
        <v>46315</v>
      </c>
      <c r="J27" s="28" t="inlineStr">
        <is>
          <t>19/10/2026: PLANET pasa el test con 1a30 | 20/10/2026: egGNN (5.1040), GIGN (media 5.7230), EHIGN-PLA (media 5.4670), saCNN (5.0950) y DEAttentionDTA (6.2026 CASF / 6.3185 autores) pasan el test con 1a30 en Linux. Falta confirmar en Windows</t>
        </is>
      </c>
    </row>
    <row r="28" ht="26.25" customHeight="1" s="17">
      <c r="A28" s="27" t="inlineStr">
        <is>
          <t>6.1</t>
        </is>
      </c>
      <c r="B28" s="27" t="inlineStr">
        <is>
          <t>6. Pruebas Nivel 2 (pasos extra)</t>
        </is>
      </c>
      <c r="C28" s="27" t="inlineStr">
        <is>
          <t>SF del Nivel 2</t>
        </is>
      </c>
      <c r="D28" s="27" t="inlineStr">
        <is>
          <t>DeepBindGCN, HAC-Net, delta_LinF9_XGB, GraphscoreDTA, IGModel, ConBAP, CPIScore</t>
        </is>
      </c>
      <c r="E28" s="27" t="inlineStr">
        <is>
          <t>5.3</t>
        </is>
      </c>
      <c r="F28" s="28" t="inlineStr">
        <is>
          <t>Completada</t>
        </is>
      </c>
      <c r="G28" s="28" t="n"/>
      <c r="H28" s="29" t="n">
        <v>46316</v>
      </c>
      <c r="I28" s="29" t="n">
        <v>46316</v>
      </c>
      <c r="J28" s="28" t="inlineStr">
        <is>
          <t>21/10/2026: Nivel 2 hasta el test con 1a30: IGModel, ConBAP, HAC-Net, delta_LinF9_XGB y DeepBindGCN PASS; GraphscoreDTA instalada pero sin 1a30 (sin featurizador público, ver 6.2); CPIScore descartada (modelo incompleto). Probado en Linux; falta confirmar los demos en Windows (delta_LinF9_XGB solo por Docker/WSL; HAC-Net necesita internet para ACC2)</t>
        </is>
      </c>
    </row>
    <row r="29" ht="26.25" customHeight="1" s="17">
      <c r="A29" s="27" t="inlineStr">
        <is>
          <t>6.2</t>
        </is>
      </c>
      <c r="B29" s="27" t="inlineStr">
        <is>
          <t>6. Pruebas Nivel 2 (pasos extra)</t>
        </is>
      </c>
      <c r="C29" s="27" t="inlineStr">
        <is>
          <t>Investigar cómo GraphscoreDTA prepara sus complejos de test</t>
        </is>
      </c>
      <c r="D29" s="27" t="inlineStr">
        <is>
          <t>Los autores publicaron solo los grafos ya armados de 279 complejos de CASF-2016 (all_in_one_graph_test2016.bin + Vina_terms2016.pkl), no el código que los genera. Averiguar cómo construyen el grafo (átomos del ligando, residuos del pocket, interacciones) y los 6 términos de Vina, para poder preparar 1a30 y complejos nuevos</t>
        </is>
      </c>
      <c r="E29" s="27" t="inlineStr">
        <is>
          <t>6.1</t>
        </is>
      </c>
      <c r="F29" s="28" t="inlineStr">
        <is>
          <t>Pendiente</t>
        </is>
      </c>
      <c r="G29" s="28" t="n"/>
      <c r="H29" s="29" t="n">
        <v>46316</v>
      </c>
      <c r="I29" s="29" t="n"/>
      <c r="J29" s="28" t="inlineStr">
        <is>
          <t>21/10/2026: 1a30, 2zcr, 2zy1, 3ag9, 3bv9 y 3uri no están en el set de los autores. Pistas: artículo (Bioinformatics 2023, btad340) y su material suplementario, repo espejo KailiWang1/GraphscoreDTA, preguntar a los autores (kailiwang@dhu.edu.cn)</t>
        </is>
      </c>
    </row>
    <row r="30" ht="15" customHeight="1" s="17">
      <c r="A30" s="27" t="inlineStr">
        <is>
          <t>7.1</t>
        </is>
      </c>
      <c r="B30" s="27" t="inlineStr">
        <is>
          <t>7. Pruebas Nivel 3 (pesadas/complicadas)</t>
        </is>
      </c>
      <c r="C30" s="27" t="inlineStr">
        <is>
          <t>SF del Nivel 3</t>
        </is>
      </c>
      <c r="D30" s="27" t="inlineStr">
        <is>
          <t>PointNet, PIGNet2, Dynaformer, TopoFormer, BAPA, CGraphDTA, EGNA, HydraScreen, P3-Score</t>
        </is>
      </c>
      <c r="E30" s="27" t="inlineStr">
        <is>
          <t>6.1, 0.2</t>
        </is>
      </c>
      <c r="F30" s="28" t="inlineStr">
        <is>
          <t>En progreso</t>
        </is>
      </c>
      <c r="G30" s="28" t="n"/>
      <c r="H30" s="29" t="n">
        <v>46317</v>
      </c>
      <c r="I30" s="29" t="n"/>
      <c r="J30" s="28" t="inlineStr">
        <is>
          <t>GPU, licencias (X-Score) o API (HydraScreen) | 22/10/2026: revisadas las 9 SF. PIGNet2 hasta el test con 1a30 (PASS, corre en CPU). Orden sugerido para seguir: HydraScreen (inferencia local), PointNet, BAPA, TopoFormer, Dynaformer; CGraphDTA/EGNA (bases HHblits) y P3-Score (X-Score) al final | 22/10/2026: PointNet/PointTransformer hasta el test con 1a30 (PASS; pipeline completo en Docker). HydraScreen local bloqueada (paquetes privados de Ro5): queda la API</t>
        </is>
      </c>
    </row>
    <row r="31" ht="26.25" customHeight="1" s="17">
      <c r="A31" s="27" t="inlineStr">
        <is>
          <t>8.1</t>
        </is>
      </c>
      <c r="B31" s="27" t="inlineStr">
        <is>
          <t>8. Evaluación en CASF-2016</t>
        </is>
      </c>
      <c r="C31" s="27" t="inlineStr">
        <is>
          <t>Calcular PCC por SF</t>
        </is>
      </c>
      <c r="D31" s="27" t="inlineStr">
        <is>
          <t>Comparar PCC obtenido vs. reportado (hoja Estado SF)</t>
        </is>
      </c>
      <c r="E31" s="27" t="inlineStr">
        <is>
          <t>5.1</t>
        </is>
      </c>
      <c r="F31" s="28" t="inlineStr">
        <is>
          <t>Pendiente</t>
        </is>
      </c>
      <c r="G31" s="28" t="n"/>
      <c r="H31" s="29" t="n"/>
      <c r="I31" s="29" t="n"/>
      <c r="J31" s="28" t="inlineStr">
        <is>
          <t>21/10/2026: tools/run_coreset_level1.bat y tools/evaluate_casf.py listos (PCC, IC 90%, SD, Spearman, RMSE vs CoreSet.dat). El test de los 285 complejos del Nivel 1 se va a ejecutar y grabar en un VIDEO; no correrlo antes. El usuario lo quiere hacer de otra manera</t>
        </is>
      </c>
    </row>
    <row r="32" ht="15" customHeight="1" s="17">
      <c r="A32" s="27" t="inlineStr">
        <is>
          <t>8.2</t>
        </is>
      </c>
      <c r="B32" s="27" t="inlineStr">
        <is>
          <t>8. Evaluación en CASF-2016</t>
        </is>
      </c>
      <c r="C32" s="27" t="inlineStr">
        <is>
          <t>Usar versiones corregidas de Eaves et al.</t>
        </is>
      </c>
      <c r="D32" s="27" t="inlineStr">
        <is>
          <t>17 modelos en github.com/jeavesj</t>
        </is>
      </c>
      <c r="E32" s="27" t="n"/>
      <c r="F32" s="28" t="inlineStr">
        <is>
          <t>Pendiente</t>
        </is>
      </c>
      <c r="G32" s="28" t="n"/>
      <c r="H32" s="29" t="n"/>
      <c r="I32" s="29" t="n"/>
      <c r="J32" s="28" t="n"/>
    </row>
    <row r="33" ht="15" customHeight="1" s="17">
      <c r="A33" s="27" t="inlineStr">
        <is>
          <t>8.3</t>
        </is>
      </c>
      <c r="B33" s="27" t="inlineStr">
        <is>
          <t>8. Evaluación en CASF-2016</t>
        </is>
      </c>
      <c r="C33" s="27" t="inlineStr">
        <is>
          <t>Informe comparativo</t>
        </is>
      </c>
      <c r="D33" s="27" t="inlineStr">
        <is>
          <t>Tabla/gráficos de resultados para el laboratorio</t>
        </is>
      </c>
      <c r="E33" s="27" t="inlineStr">
        <is>
          <t>8.1</t>
        </is>
      </c>
      <c r="F33" s="28" t="inlineStr">
        <is>
          <t>Pendiente</t>
        </is>
      </c>
      <c r="G33" s="28" t="n"/>
      <c r="H33" s="29" t="n"/>
      <c r="I33" s="29" t="n"/>
      <c r="J33" s="28" t="n"/>
    </row>
    <row r="34">
      <c r="A34" s="27" t="inlineStr">
        <is>
          <t>9.1</t>
        </is>
      </c>
      <c r="B34" s="27" t="inlineStr">
        <is>
          <t>9. Interfaz</t>
        </is>
      </c>
      <c r="C34" s="27" t="inlineStr">
        <is>
          <t>Interfaz para ejecutar cada SF</t>
        </is>
      </c>
      <c r="D34" s="27" t="inlineStr">
        <is>
          <t>UI sobre el CLI de CombiLabHUB</t>
        </is>
      </c>
      <c r="E34" s="27" t="inlineStr">
        <is>
          <t>5.3</t>
        </is>
      </c>
      <c r="F34" s="28" t="inlineStr">
        <is>
          <t>Pendiente</t>
        </is>
      </c>
      <c r="G34" s="28" t="n"/>
      <c r="H34" s="29" t="n"/>
      <c r="I34" s="29" t="n"/>
      <c r="J34" s="28" t="n"/>
    </row>
    <row r="35">
      <c r="A35" s="27" t="inlineStr">
        <is>
          <t>5.4</t>
        </is>
      </c>
      <c r="B35" s="27" t="inlineStr">
        <is>
          <t>5. Pruebas Nivel 1 (CPU, modelo listo)</t>
        </is>
      </c>
      <c r="C35" s="27" t="inlineStr">
        <is>
          <t>RFL-Score (SF de combi-lab)</t>
        </is>
      </c>
      <c r="D35" s="27" t="inlineStr">
        <is>
          <t>Plugin plugins/rfl_score: test liviano con R en Windows + pipeline completo de 160 features con Docker</t>
        </is>
      </c>
      <c r="E35" s="27" t="inlineStr">
        <is>
          <t>5.3</t>
        </is>
      </c>
      <c r="F35" s="28" t="inlineStr">
        <is>
          <t>Completada</t>
        </is>
      </c>
      <c r="G35" s="28" t="n"/>
      <c r="H35" s="29" t="n">
        <v>46316</v>
      </c>
      <c r="I35" s="29" t="n">
        <v>46316</v>
      </c>
      <c r="J35" s="28" t="inlineStr">
        <is>
          <t>21/10/2026: test 1a30 PASS en Linux: modelo 4.4494 con las features de los autores; pipeline completo = mismas 160 features y 4.4494. Falta confirmar demo_rfl_score.bat (Windows conda) y docker_rfl_score.bat en la PC del laboratorio. El core set entra en run_coreset_level1.bat (vía Docker) para el video (8.1) | 21/10/2026: docker_rfl_score.bat PASS en la PC del laboratorio (imagen 1.1, vina4dv compilado con g++). Falta probar demo_rfl_score.bat (conda).</t>
        </is>
      </c>
    </row>
  </sheetData>
  <autoFilter ref="A4:J33"/>
  <conditionalFormatting sqref="F5:F33">
    <cfRule type="cellIs" rank="0" priority="2" equalAverage="0" operator="equal" aboveAverage="0" dxfId="7" text="" percent="0" bottom="0">
      <formula>"Completada"</formula>
    </cfRule>
    <cfRule type="cellIs" rank="0" priority="3" equalAverage="0" operator="equal" aboveAverage="0" dxfId="8" text="" percent="0" bottom="0">
      <formula>"En progreso"</formula>
    </cfRule>
    <cfRule type="cellIs" rank="0" priority="4" equalAverage="0" operator="equal" aboveAverage="0" dxfId="9" text="" percent="0" bottom="0">
      <formula>"Pendiente"</formula>
    </cfRule>
    <cfRule type="cellIs" rank="0" priority="5" equalAverage="0" operator="equal" aboveAverage="0" dxfId="10" text="" percent="0" bottom="0">
      <formula>"Bloqueada"</formula>
    </cfRule>
  </conditionalFormatting>
  <dataValidations count="1">
    <dataValidation sqref="F5:F40" showDropDown="0" showInputMessage="0" showErrorMessage="0" allowBlank="1" type="list" errorStyle="stop" operator="between">
      <formula1>"Pendiente,En progreso,Completada,Bloqueada"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5" customWidth="1" style="16" min="2" max="2"/>
    <col width="20" customWidth="1" style="16" min="3" max="3"/>
    <col width="32" customWidth="1" style="16" min="4" max="4"/>
    <col width="30" customWidth="1" style="16" min="5" max="5"/>
    <col width="11" customWidth="1" style="16" min="6" max="6"/>
    <col width="10" customWidth="1" style="16" min="7" max="7"/>
    <col width="12" customWidth="1" style="16" min="8" max="9"/>
    <col width="11" customWidth="1" style="16" min="10" max="10"/>
    <col width="40" customWidth="1" style="16" min="11" max="11"/>
    <col width="20" customWidth="1" style="17" min="12" max="12"/>
    <col width="26" customWidth="1" style="17" min="13" max="13"/>
    <col width="26" customWidth="1" style="17" min="14" max="14"/>
    <col width="28" customWidth="1" style="17" min="15" max="15"/>
    <col width="26" customWidth="1" style="17" min="16" max="16"/>
    <col width="16" customWidth="1" style="17" min="17" max="17"/>
    <col width="18" customWidth="1" style="17" min="18" max="18"/>
  </cols>
  <sheetData>
    <row r="1" ht="17.25" customHeight="1" s="17">
      <c r="A1" s="18" t="inlineStr">
        <is>
          <t>Estado de cada scoring function (solo inferencia, sin reentrenar)</t>
        </is>
      </c>
    </row>
    <row r="2" ht="15" customHeight="1" s="17">
      <c r="A2" s="26" t="inlineStr">
        <is>
          <t>Completar celdas amarillas. PCC reportado = valor del artículo original en CASF-2016. Diferencia se calcula sola. Columnas L–R: scripts de cada plugin (combi_lab_hub_tmp/plugins/&lt;carpeta&gt;); tools/docker_test_all.bat (.sh) corre todos los tests con Docker y deja un resumen.</t>
        </is>
      </c>
    </row>
    <row r="3"/>
    <row r="4" ht="39" customHeight="1" s="17">
      <c r="A4" s="19" t="inlineStr">
        <is>
          <t>Nivel</t>
        </is>
      </c>
      <c r="B4" s="19" t="inlineStr">
        <is>
          <t>#</t>
        </is>
      </c>
      <c r="C4" s="19" t="inlineStr">
        <is>
          <t>Scoring function</t>
        </is>
      </c>
      <c r="D4" s="19" t="inlineStr">
        <is>
          <t>Modelo entrenado / fuente</t>
        </is>
      </c>
      <c r="E4" s="19" t="inlineStr">
        <is>
          <t>Dependencias principales</t>
        </is>
      </c>
      <c r="F4" s="19" t="inlineStr">
        <is>
          <t>Instalada</t>
        </is>
      </c>
      <c r="G4" s="19" t="inlineStr">
        <is>
          <t>Corre</t>
        </is>
      </c>
      <c r="H4" s="19" t="inlineStr">
        <is>
          <t>PCC obtenido</t>
        </is>
      </c>
      <c r="I4" s="19" t="inlineStr">
        <is>
          <t>PCC reportado</t>
        </is>
      </c>
      <c r="J4" s="19" t="inlineStr">
        <is>
          <t>Diferencia</t>
        </is>
      </c>
      <c r="K4" s="19" t="inlineStr">
        <is>
          <t>Problemas / notas</t>
        </is>
      </c>
      <c r="L4" s="19" t="inlineStr">
        <is>
          <t>Plugin (carpeta en plugins/)</t>
        </is>
      </c>
      <c r="M4" s="19" t="inlineStr">
        <is>
          <t>Windows conda (.bat)</t>
        </is>
      </c>
      <c r="N4" s="19" t="inlineStr">
        <is>
          <t>Imagen Docker</t>
        </is>
      </c>
      <c r="O4" s="19" t="inlineStr">
        <is>
          <t>Windows Docker (.bat)</t>
        </is>
      </c>
      <c r="P4" s="19" t="inlineStr">
        <is>
          <t>Linux Docker (.sh)</t>
        </is>
      </c>
      <c r="Q4" s="19" t="inlineStr">
        <is>
          <t>Test Docker 1a30</t>
        </is>
      </c>
      <c r="R4" s="19" t="inlineStr">
        <is>
          <t>Test Windows conda 1a30</t>
        </is>
      </c>
    </row>
    <row r="5" ht="15" customHeight="1" s="17">
      <c r="A5" s="27" t="n">
        <v>1</v>
      </c>
      <c r="B5" s="27" t="n">
        <v>1</v>
      </c>
      <c r="C5" s="27" t="inlineStr">
        <is>
          <t>ET-Score</t>
        </is>
      </c>
      <c r="D5" s="27" t="inlineStr">
        <is>
          <t>et_score.sav (Files.7z o Figshare)</t>
        </is>
      </c>
      <c r="E5" s="27" t="inlineStr">
        <is>
          <t>scikit-learn</t>
        </is>
      </c>
      <c r="F5" s="28" t="inlineStr">
        <is>
          <t>Sí</t>
        </is>
      </c>
      <c r="G5" s="28" t="inlineStr">
        <is>
          <t>Sí</t>
        </is>
      </c>
      <c r="H5" s="30" t="n"/>
      <c r="I5" s="30" t="n">
        <v>0.827</v>
      </c>
      <c r="J5" s="31">
        <f>IF(AND(ISNUMBER(H5),ISNUMBER(I5)),H5-I5,"")</f>
        <v/>
      </c>
      <c r="K5" s="28" t="inlineStr">
        <is>
          <t>19/10/2026: test 1a30 PASS (pKd 5.6837, igual a los autores). Requiere Python 3.7 + sklearn 0.22.2 exactos; con 0.22.2 los autores reportan PCC 0.793. Plugin: plugins/et_score</t>
        </is>
      </c>
      <c r="L5" s="28" t="inlineStr">
        <is>
          <t>et_score</t>
        </is>
      </c>
      <c r="M5" s="28" t="inlineStr">
        <is>
          <t>demo_et_score.bat</t>
        </is>
      </c>
      <c r="N5" s="28" t="inlineStr">
        <is>
          <t>combilab/et-score:1.0</t>
        </is>
      </c>
      <c r="O5" s="28" t="inlineStr">
        <is>
          <t>docker_et_score.bat</t>
        </is>
      </c>
      <c r="P5" s="28" t="inlineStr">
        <is>
          <t>docker_et_score.sh</t>
        </is>
      </c>
      <c r="Q5" s="30" t="inlineStr">
        <is>
          <t>Pendiente</t>
        </is>
      </c>
      <c r="R5" s="30" t="inlineStr">
        <is>
          <t>Pendiente</t>
        </is>
      </c>
    </row>
    <row r="6" ht="15" customHeight="1" s="17">
      <c r="A6" s="27" t="n">
        <v>1</v>
      </c>
      <c r="B6" s="27" t="n">
        <v>2</v>
      </c>
      <c r="C6" s="27" t="inlineStr">
        <is>
          <t>GB-Score</t>
        </is>
      </c>
      <c r="D6" s="27" t="inlineStr">
        <is>
          <t>.joblib en Figshare</t>
        </is>
      </c>
      <c r="E6" s="27" t="inlineStr">
        <is>
          <t>scikit-learn</t>
        </is>
      </c>
      <c r="F6" s="28" t="inlineStr">
        <is>
          <t>Sí</t>
        </is>
      </c>
      <c r="G6" s="28" t="inlineStr">
        <is>
          <t>Sí</t>
        </is>
      </c>
      <c r="H6" s="30" t="n"/>
      <c r="I6" s="30" t="n">
        <v>0.862</v>
      </c>
      <c r="J6" s="31">
        <f>IF(AND(ISNUMBER(H6),ISNUMBER(I6)),H6-I6,"")</f>
        <v/>
      </c>
      <c r="K6" s="28" t="inlineStr">
        <is>
          <t>19/10/2026: test 1a30 PASS (pKd 5.6171). El repo no trae script de predicción: el modelo usa 104 features filtradas y normalizadas (tabla reconstruida desde total_set_2019.csv). generate_features.py público subcuenta los H de la proteína; corregido leyendo el elemento del PDB. Plugin: plugins/gb_score</t>
        </is>
      </c>
      <c r="L6" s="28" t="inlineStr">
        <is>
          <t>gb_score</t>
        </is>
      </c>
      <c r="M6" s="28" t="inlineStr">
        <is>
          <t>demo_gb_score.bat</t>
        </is>
      </c>
      <c r="N6" s="28" t="inlineStr">
        <is>
          <t>combilab/gb-score:1.0</t>
        </is>
      </c>
      <c r="O6" s="28" t="inlineStr">
        <is>
          <t>docker_gb_score.bat</t>
        </is>
      </c>
      <c r="P6" s="28" t="inlineStr">
        <is>
          <t>docker_gb_score.sh</t>
        </is>
      </c>
      <c r="Q6" s="30" t="inlineStr">
        <is>
          <t>Pendiente</t>
        </is>
      </c>
      <c r="R6" s="30" t="inlineStr">
        <is>
          <t>Pendiente</t>
        </is>
      </c>
    </row>
    <row r="7" ht="15" customHeight="1" s="17">
      <c r="A7" s="27" t="n">
        <v>1</v>
      </c>
      <c r="B7" s="27" t="n">
        <v>3</v>
      </c>
      <c r="C7" s="27" t="inlineStr">
        <is>
          <t>OnionNet-2</t>
        </is>
      </c>
      <c r="D7" s="27" t="inlineStr">
        <is>
          <t>62shell_saved-model.h5 (Zenodo 10728089, 885 MB)</t>
        </is>
      </c>
      <c r="E7" s="27" t="inlineStr">
        <is>
          <t>TensorFlow CPU</t>
        </is>
      </c>
      <c r="F7" s="28" t="inlineStr">
        <is>
          <t>Sí</t>
        </is>
      </c>
      <c r="G7" s="28" t="inlineStr">
        <is>
          <t>Sí</t>
        </is>
      </c>
      <c r="H7" s="30" t="n"/>
      <c r="I7" s="30" t="n">
        <v>0.864</v>
      </c>
      <c r="J7" s="31">
        <f>IF(AND(ISNUMBER(H7),ISNUMBER(I7)),H7-I7,"")</f>
        <v/>
      </c>
      <c r="K7" s="28" t="inlineStr">
        <is>
          <t>19/10/2026: test 1a30 PASS. TensorFlow 2.3.4 CPU + sklearn 0.22.1 + Open Babel (ligando .mol2 -&gt; .pdb). Las aguas cristalográficas del PDB cambian la predicción (con aguas 5.4568, CASF sin aguas 5.8866): definir qué archivos usar para el PCC. Eaves et al. reproducen PCC 0.851. Plugin: plugins/onionnet2</t>
        </is>
      </c>
      <c r="L7" s="28" t="inlineStr">
        <is>
          <t>onionnet2</t>
        </is>
      </c>
      <c r="M7" s="28" t="inlineStr">
        <is>
          <t>demo_onionnet2.bat</t>
        </is>
      </c>
      <c r="N7" s="28" t="inlineStr">
        <is>
          <t>combilab/onionnet2:1.0</t>
        </is>
      </c>
      <c r="O7" s="28" t="inlineStr">
        <is>
          <t>docker_onionnet2.bat</t>
        </is>
      </c>
      <c r="P7" s="28" t="inlineStr">
        <is>
          <t>docker_onionnet2.sh</t>
        </is>
      </c>
      <c r="Q7" s="30" t="inlineStr">
        <is>
          <t>Pendiente</t>
        </is>
      </c>
      <c r="R7" s="30" t="inlineStr">
        <is>
          <t>Pendiente</t>
        </is>
      </c>
    </row>
    <row r="8" ht="15" customHeight="1" s="17">
      <c r="A8" s="27" t="n">
        <v>1</v>
      </c>
      <c r="B8" s="27" t="n">
        <v>4</v>
      </c>
      <c r="C8" s="27" t="inlineStr">
        <is>
          <t>SFCNN</t>
        </is>
      </c>
      <c r="D8" s="27" t="inlineStr">
        <is>
          <t>weights_22_112-0.0083.h5 (en el repo, 5.5 MB)</t>
        </is>
      </c>
      <c r="E8" s="27" t="inlineStr">
        <is>
          <t>TensorFlow 2.3 CPU + Open Babel 3.1</t>
        </is>
      </c>
      <c r="F8" s="28" t="inlineStr">
        <is>
          <t>Sí</t>
        </is>
      </c>
      <c r="G8" s="28" t="inlineStr">
        <is>
          <t>Sí</t>
        </is>
      </c>
      <c r="H8" s="30" t="n"/>
      <c r="I8" s="30" t="n">
        <v>0.793</v>
      </c>
      <c r="J8" s="31">
        <f>IF(AND(ISNUMBER(H8),ISNUMBER(I8)),H8-I8,"")</f>
        <v/>
      </c>
      <c r="K8" s="28" t="inlineStr">
        <is>
          <t>19/10/2026: test 1a30 PASS: pKd 5.4721 idéntico a Sfcnn_2016_test.csv de los autores y 74 poses de docking iguales a test/output2 (dif. máx 0.0007). build_model() carga los pesos desde la carpeta actual. Eaves et al. reproducen PCC 0.789. Plugin: plugins/sfcnn</t>
        </is>
      </c>
      <c r="L8" s="28" t="inlineStr">
        <is>
          <t>sfcnn</t>
        </is>
      </c>
      <c r="M8" s="28" t="inlineStr">
        <is>
          <t>demo_sfcnn.bat</t>
        </is>
      </c>
      <c r="N8" s="28" t="inlineStr">
        <is>
          <t>combilab/sfcnn:1.0</t>
        </is>
      </c>
      <c r="O8" s="28" t="inlineStr">
        <is>
          <t>docker_sfcnn.bat</t>
        </is>
      </c>
      <c r="P8" s="28" t="inlineStr">
        <is>
          <t>docker_sfcnn.sh</t>
        </is>
      </c>
      <c r="Q8" s="30" t="inlineStr">
        <is>
          <t>Pendiente</t>
        </is>
      </c>
      <c r="R8" s="30" t="inlineStr">
        <is>
          <t>Pendiente</t>
        </is>
      </c>
    </row>
    <row r="9" ht="15" customHeight="1" s="17">
      <c r="A9" s="27" t="n">
        <v>1</v>
      </c>
      <c r="B9" s="27" t="n">
        <v>5</v>
      </c>
      <c r="C9" s="27" t="inlineStr">
        <is>
          <t>PLANET</t>
        </is>
      </c>
      <c r="D9" s="27" t="inlineStr">
        <is>
          <t>PLANET.param (en el repo, 18.5 MB) + core.tar.bz2 (core set preparado por los autores)</t>
        </is>
      </c>
      <c r="E9" s="27" t="inlineStr">
        <is>
          <t>PyTorch 2.2 + RDKit 2023.9 (Python 3.11)</t>
        </is>
      </c>
      <c r="F9" s="28" t="inlineStr">
        <is>
          <t>Sí</t>
        </is>
      </c>
      <c r="G9" s="28" t="inlineStr">
        <is>
          <t>Sí</t>
        </is>
      </c>
      <c r="H9" s="30" t="n"/>
      <c r="I9" s="30" t="n">
        <v>0.824</v>
      </c>
      <c r="J9" s="31">
        <f>IF(AND(ISNUMBER(H9),ISNUMBER(I9)),H9-I9,"")</f>
        <v/>
      </c>
      <c r="K9" s="28" t="inlineStr">
        <is>
          <t>19/10/2026: test 1a30 PASS (5.8930 con core.tar.bz2 de los autores; 5.6216 con CASF .mol2). El .sdf de CASF de 1a30 no lo lee RDKit: usar core.tar.bz2 de los autores. demo/result.csv es de 2022 (modelo viejo), no sirve de referencia. Plugin: plugins/planet</t>
        </is>
      </c>
      <c r="L9" s="28" t="inlineStr">
        <is>
          <t>planet</t>
        </is>
      </c>
      <c r="M9" s="28" t="inlineStr">
        <is>
          <t>demo_planet.bat</t>
        </is>
      </c>
      <c r="N9" s="28" t="inlineStr">
        <is>
          <t>combilab/planet:1.0</t>
        </is>
      </c>
      <c r="O9" s="28" t="inlineStr">
        <is>
          <t>docker_planet.bat</t>
        </is>
      </c>
      <c r="P9" s="28" t="inlineStr">
        <is>
          <t>docker_planet.sh</t>
        </is>
      </c>
      <c r="Q9" s="30" t="inlineStr">
        <is>
          <t>Pendiente</t>
        </is>
      </c>
      <c r="R9" s="30" t="inlineStr">
        <is>
          <t>Pendiente</t>
        </is>
      </c>
    </row>
    <row r="10" ht="15" customHeight="1" s="17">
      <c r="A10" s="27" t="n">
        <v>1</v>
      </c>
      <c r="B10" s="27" t="n">
        <v>6</v>
      </c>
      <c r="C10" s="27" t="inlineStr">
        <is>
          <t>egGNN</t>
        </is>
      </c>
      <c r="D10" s="27" t="inlineStr">
        <is>
          <t>16-8596.sav (en el repo, 11.7 MB; usado por el pipeline de los autores)</t>
        </is>
      </c>
      <c r="E10" s="27" t="inlineStr">
        <is>
          <t>PyTorch 2.2 + DGL 2.2.1 + dgllife 0.3.2 + RDKit (Python 3.10)</t>
        </is>
      </c>
      <c r="F10" s="28" t="inlineStr">
        <is>
          <t>Sí</t>
        </is>
      </c>
      <c r="G10" s="28" t="inlineStr">
        <is>
          <t>Sí</t>
        </is>
      </c>
      <c r="H10" s="30" t="n"/>
      <c r="I10" s="30" t="n">
        <v>0.86</v>
      </c>
      <c r="J10" s="31">
        <f>IF(AND(ISNUMBER(H10),ISNUMBER(I10)),H10-I10,"")</f>
        <v/>
      </c>
      <c r="K10" s="28" t="inlineStr">
        <is>
          <t>20/10/2026: test 1a30 PASS (pKd 5.1040 con pocket, idéntico a Eaves et al.; 6.5326 con proteína completa). Usar _pocket.pdb: con la proteína completa Eaves obtiene PCC 0.071, con el pocket 0.669 (no reproduce el 0.86 del artículo). Ligando como SMILES desde el .mol2. El checkpoint es un modelo pickleado con clases __main__.*: el wrapper las redirige. Plugin: plugins/eggnn</t>
        </is>
      </c>
      <c r="L10" s="28" t="inlineStr">
        <is>
          <t>eggnn</t>
        </is>
      </c>
      <c r="M10" s="28" t="inlineStr">
        <is>
          <t>demo_eggnn.bat</t>
        </is>
      </c>
      <c r="N10" s="28" t="inlineStr">
        <is>
          <t>combilab/eggnn:1.0</t>
        </is>
      </c>
      <c r="O10" s="28" t="inlineStr">
        <is>
          <t>docker_eggnn.bat</t>
        </is>
      </c>
      <c r="P10" s="28" t="inlineStr">
        <is>
          <t>docker_eggnn.sh</t>
        </is>
      </c>
      <c r="Q10" s="30" t="inlineStr">
        <is>
          <t>Pendiente</t>
        </is>
      </c>
      <c r="R10" s="30" t="inlineStr">
        <is>
          <t>Pendiente</t>
        </is>
      </c>
    </row>
    <row r="11" ht="15" customHeight="1" s="17">
      <c r="A11" s="27" t="n">
        <v>1</v>
      </c>
      <c r="B11" s="27" t="n">
        <v>7</v>
      </c>
      <c r="C11" s="27" t="inlineStr">
        <is>
          <t>GIGN</t>
        </is>
      </c>
      <c r="D11" s="27" t="inlineStr">
        <is>
          <t>3 modelos en el repo (repeat0-2, .pt)</t>
        </is>
      </c>
      <c r="E11" s="27" t="inlineStr">
        <is>
          <t>PyTorch 2.2 + PyG 2.5.3 + RDKit + PyMOL + Open Babel (entorno gign, Python 3.10)</t>
        </is>
      </c>
      <c r="F11" s="28" t="inlineStr">
        <is>
          <t>Sí</t>
        </is>
      </c>
      <c r="G11" s="28" t="inlineStr">
        <is>
          <t>Sí</t>
        </is>
      </c>
      <c r="H11" s="30" t="n"/>
      <c r="I11" s="30" t="n">
        <v>0.84</v>
      </c>
      <c r="J11" s="31">
        <f>IF(AND(ISNUMBER(H11),ISNUMBER(I11)),H11-I11,"")</f>
        <v/>
      </c>
      <c r="K11" s="28" t="inlineStr">
        <is>
          <t>20/10/2026: test 1a30 PASS (modelos 4.3883 / 6.3427 / 6.4380, media 5.7230, igual a los scripts de los autores). Nuestro grafo de 1a30 es idéntico al preparado por los autores (Zenodo 7490623); con sus 285 grafos del core set: PCC 0.844 / 0.843 / 0.832, 0.855 con la media. Pocket con PyMOL a 5 Å + obabel -d. Eaves et al. reproducen PCC 0.85. Plugin: plugins/gign</t>
        </is>
      </c>
      <c r="L11" s="28" t="inlineStr">
        <is>
          <t>gign</t>
        </is>
      </c>
      <c r="M11" s="28" t="inlineStr">
        <is>
          <t>demo_gign.bat</t>
        </is>
      </c>
      <c r="N11" s="28" t="inlineStr">
        <is>
          <t>combilab/gign:1.0</t>
        </is>
      </c>
      <c r="O11" s="28" t="inlineStr">
        <is>
          <t>docker_gign.bat</t>
        </is>
      </c>
      <c r="P11" s="28" t="inlineStr">
        <is>
          <t>docker_gign.sh</t>
        </is>
      </c>
      <c r="Q11" s="30" t="inlineStr">
        <is>
          <t>Pendiente</t>
        </is>
      </c>
      <c r="R11" s="30" t="inlineStr">
        <is>
          <t>Pendiente</t>
        </is>
      </c>
    </row>
    <row r="12" ht="15" customHeight="1" s="17">
      <c r="A12" s="27" t="n">
        <v>1</v>
      </c>
      <c r="B12" s="27" t="n">
        <v>8</v>
      </c>
      <c r="C12" s="27" t="inlineStr">
        <is>
          <t>EHIGN-PLA</t>
        </is>
      </c>
      <c r="D12" s="27" t="inlineStr">
        <is>
          <t>3 modelos en el repo (repeat0-2, .pt)</t>
        </is>
      </c>
      <c r="E12" s="27" t="inlineStr">
        <is>
          <t>PyTorch 2.2 + DGL 2.2.1 + RDKit + PyMOL + Open Babel (mismo entorno gign que GIGN)</t>
        </is>
      </c>
      <c r="F12" s="28" t="inlineStr">
        <is>
          <t>Sí</t>
        </is>
      </c>
      <c r="G12" s="28" t="inlineStr">
        <is>
          <t>Sí</t>
        </is>
      </c>
      <c r="H12" s="30" t="n"/>
      <c r="I12" s="30" t="n">
        <v>0.854</v>
      </c>
      <c r="J12" s="31">
        <f>IF(AND(ISNUMBER(H12),ISNUMBER(I12)),H12-I12,"")</f>
        <v/>
      </c>
      <c r="K12" s="28" t="inlineStr">
        <is>
          <t>20/10/2026: test 1a30 PASS (5.5024 / 5.8087 / 5.0898, media 5.4670, igual a los scripts de los autores). Código para DGL 0.9: copy_src mapeado a copy_u; el modelo modifica el grafo, se recarga por modelo. Falta calcular el PCC del core set. Eaves et al. reproducen PCC 0.851. Plugin: plugins/ehign_pla</t>
        </is>
      </c>
      <c r="L12" s="28" t="inlineStr">
        <is>
          <t>ehign_pla</t>
        </is>
      </c>
      <c r="M12" s="28" t="inlineStr">
        <is>
          <t>demo_ehign_pla.bat</t>
        </is>
      </c>
      <c r="N12" s="28" t="inlineStr">
        <is>
          <t>combilab/ehign_pla:1.0</t>
        </is>
      </c>
      <c r="O12" s="28" t="inlineStr">
        <is>
          <t>docker_ehign_pla.bat</t>
        </is>
      </c>
      <c r="P12" s="28" t="inlineStr">
        <is>
          <t>docker_ehign_pla.sh</t>
        </is>
      </c>
      <c r="Q12" s="30" t="inlineStr">
        <is>
          <t>Pendiente</t>
        </is>
      </c>
      <c r="R12" s="30" t="inlineStr">
        <is>
          <t>Pendiente</t>
        </is>
      </c>
    </row>
    <row r="13" ht="15" customHeight="1" s="17">
      <c r="A13" s="27" t="n">
        <v>1</v>
      </c>
      <c r="B13" s="27" t="n">
        <v>9</v>
      </c>
      <c r="C13" s="27" t="inlineStr">
        <is>
          <t>saCNN</t>
        </is>
      </c>
      <c r="D13" s="27" t="inlineStr">
        <is>
          <t>model.pkl (en el repo, 18.2 MB)</t>
        </is>
      </c>
      <c r="E13" s="27" t="inlineStr">
        <is>
          <t>PyTorch 2.5 CPU + moleculekit 1.11.5 + pdb2pqr/propka (Python 3.10); sin HTMD</t>
        </is>
      </c>
      <c r="F13" s="28" t="inlineStr">
        <is>
          <t>Sí</t>
        </is>
      </c>
      <c r="G13" s="28" t="inlineStr">
        <is>
          <t>Sí</t>
        </is>
      </c>
      <c r="H13" s="30" t="n"/>
      <c r="I13" s="30" t="n">
        <v>0.865</v>
      </c>
      <c r="J13" s="31">
        <f>IF(AND(ISNUMBER(H13),ISNUMBER(I13)),H13-I13,"")</f>
        <v/>
      </c>
      <c r="K13" s="28" t="inlineStr">
        <is>
          <t>20/10/2026: test 1a30 PASS (pKd 5.0950, idéntico a Eaves et al.; 3jvr 4.7484 y features iguales a los de los autores). No requiere HTMD (htmd 2.0.6 pide acemd3 no público): se usa moleculekit 1.11.5 con la preparación corregida de Eaves, sin el fallback HTMD/CHARMM. Checkpoint guardado en GPU, se carga en CPU. Eaves et al. reproducen PCC 0.862. Plugin: plugins/sacnn</t>
        </is>
      </c>
      <c r="L13" s="28" t="inlineStr">
        <is>
          <t>sacnn</t>
        </is>
      </c>
      <c r="M13" s="28" t="inlineStr">
        <is>
          <t>demo_sacnn.bat</t>
        </is>
      </c>
      <c r="N13" s="28" t="inlineStr">
        <is>
          <t>combilab/sacnn:1.0</t>
        </is>
      </c>
      <c r="O13" s="28" t="inlineStr">
        <is>
          <t>docker_sacnn.bat</t>
        </is>
      </c>
      <c r="P13" s="28" t="inlineStr">
        <is>
          <t>docker_sacnn.sh</t>
        </is>
      </c>
      <c r="Q13" s="30" t="inlineStr">
        <is>
          <t>Pendiente</t>
        </is>
      </c>
      <c r="R13" s="30" t="inlineStr">
        <is>
          <t>Pendiente</t>
        </is>
      </c>
    </row>
    <row r="14" ht="15" customHeight="1" s="17">
      <c r="A14" s="27" t="n">
        <v>1</v>
      </c>
      <c r="B14" s="27" t="n">
        <v>10</v>
      </c>
      <c r="C14" s="27" t="inlineStr">
        <is>
          <t>DEAttentionDTA</t>
        </is>
      </c>
      <c r="D14" s="27" t="inlineStr">
        <is>
          <t>10 modelos Fold 1–10 (en el repo, 89 MB; se promedian)</t>
        </is>
      </c>
      <c r="E14" s="27" t="inlineStr">
        <is>
          <t>PyTorch 2.2 + Open Babel 3.1.1 (Python 3.10)</t>
        </is>
      </c>
      <c r="F14" s="28" t="inlineStr">
        <is>
          <t>Sí</t>
        </is>
      </c>
      <c r="G14" s="28" t="inlineStr">
        <is>
          <t>Sí</t>
        </is>
      </c>
      <c r="H14" s="30" t="n"/>
      <c r="I14" s="30" t="n">
        <v>0.845</v>
      </c>
      <c r="J14" s="31">
        <f>IF(AND(ISNUMBER(H14),ISNUMBER(I14)),H14-I14,"")</f>
        <v/>
      </c>
      <c r="K14" s="28" t="inlineStr">
        <is>
          <t>20/10/2026: test 1a30 PASS (6.3185 con los datos preprocesados de los autores, igual a su kfold_result.csv; 6.2026 con archivos CASF: mismo SMILES y secuencia, pocket CASF 51 vs 56 residuos). Con los datos de los autores reproduce su kfold_result.csv en 278 complejos (PCC 0.853). Los pocket de CASF no tienen cadena: el wrapper asigna cada residuo por número y nombre en orden (A y luego B). Eaves et al. reproducen PCC 0.819. Plugin: plugins/deattentiondta</t>
        </is>
      </c>
      <c r="L14" s="28" t="inlineStr">
        <is>
          <t>deattentiondta</t>
        </is>
      </c>
      <c r="M14" s="28" t="inlineStr">
        <is>
          <t>demo_deattentiondta.bat</t>
        </is>
      </c>
      <c r="N14" s="28" t="inlineStr">
        <is>
          <t>combilab/deattentiondta:1.0</t>
        </is>
      </c>
      <c r="O14" s="28" t="inlineStr">
        <is>
          <t>docker_deattentiondta.bat</t>
        </is>
      </c>
      <c r="P14" s="28" t="inlineStr">
        <is>
          <t>docker_deattentiondta.sh</t>
        </is>
      </c>
      <c r="Q14" s="30" t="inlineStr">
        <is>
          <t>Pendiente</t>
        </is>
      </c>
      <c r="R14" s="30" t="inlineStr">
        <is>
          <t>Pendiente</t>
        </is>
      </c>
    </row>
    <row r="15" ht="15" customHeight="1" s="17">
      <c r="A15" s="27" t="n">
        <v>1</v>
      </c>
      <c r="B15" s="27" t="n">
        <v>11</v>
      </c>
      <c r="C15" s="27" t="inlineStr">
        <is>
          <t>RFL-Score</t>
        </is>
      </c>
      <c r="D15" s="27" t="inlineStr">
        <is>
          <t>scoring/RScript/model/scoring_function_160.rda en el repo (Random Forest de R, 160 features; MD5 d1ad344e…)</t>
        </is>
      </c>
      <c r="E15" s="27" t="inlineStr">
        <is>
          <t>R + randomForest (test Windows conda). Pipeline completo de features (solo Linux → Docker): Open Babel 2.4.1, PaDEL (Java 11), DSSP, MGLTools 1.5.7, vina4dv, ODDT 0.7, RDKit 2020.09 (Python 3.7)</t>
        </is>
      </c>
      <c r="F15" s="28" t="inlineStr">
        <is>
          <t>Sí</t>
        </is>
      </c>
      <c r="G15" s="28" t="inlineStr">
        <is>
          <t>Sí</t>
        </is>
      </c>
      <c r="H15" s="30" t="n"/>
      <c r="I15" s="30" t="n"/>
      <c r="J15" s="31">
        <f>IF(AND(ISNUMBER(H15),ISNUMBER(I15)),H15-I15,"")</f>
        <v/>
      </c>
      <c r="K15" s="28" t="inlineStr">
        <is>
          <t>21/10/2026: SF propia de combi-lab (Arrua et al., IEEE CIBCB 2024). Test 1a30 PASS: el modelo con las 160 features de los autores (examples/1a30/1a30_160_input.csv) da 4.4494; el pipeline completo desde los archivos de CASF reproduce las 160 features EXACTAS (0 diferencias) y el mismo 4.4494. Con examples/all_160_input.csv da 4.5071 (otra versión de los descriptores RDKit 3D). Adaptaciones sin cambiar el código: wrapper de dssp para DSSP 4.2 (ya no acepta -i/-o) y prepare_ligand4.py corrido desde la carpeta del ligando. La secuencia FASTA se baja de RCSB (como los autores; incluye la cadena del péptido inhibidor); armada desde el PDB 1a30 da 4.4739. Completar PCC reportado. El RFL-Score.zip de la tabla es una versión anterior (2022), sirve para el test liviano; Docker usa el commit 2020d90. Plugin: plugins/rfl_score | 21/10/2026: en la PC (Docker Desktop + WSL 2) falló con 'list index out of range': el binario estático de vina4dv (Intel, 2016) da Segmentation fault en kernels sin vsyscall (WSL 2). La imagen 1.1 compila vina4dv con g++ (salida idéntica para 1a30). | 21/10/2026: test Docker 1a30 PASS en la PC del laboratorio con la imagen 1.1 (Windows + Docker Desktop).</t>
        </is>
      </c>
      <c r="L15" s="28" t="inlineStr">
        <is>
          <t>rfl_score</t>
        </is>
      </c>
      <c r="M15" s="28" t="inlineStr">
        <is>
          <t>demo_rfl_score.bat (solo modelo)</t>
        </is>
      </c>
      <c r="N15" s="28" t="inlineStr">
        <is>
          <t>combilab/rfl_score:1.1</t>
        </is>
      </c>
      <c r="O15" s="28" t="inlineStr">
        <is>
          <t>docker_rfl_score.bat</t>
        </is>
      </c>
      <c r="P15" s="28" t="inlineStr">
        <is>
          <t>docker_rfl_score.sh</t>
        </is>
      </c>
      <c r="Q15" s="30" t="inlineStr">
        <is>
          <t>PASS</t>
        </is>
      </c>
      <c r="R15" s="30" t="inlineStr">
        <is>
          <t>Pendiente</t>
        </is>
      </c>
    </row>
    <row r="16" ht="15" customHeight="1" s="17">
      <c r="A16" s="27" t="n">
        <v>2</v>
      </c>
      <c r="B16" s="27" t="n">
        <v>1</v>
      </c>
      <c r="C16" s="27" t="inlineStr">
        <is>
          <t>DeepBindGCN</t>
        </is>
      </c>
      <c r="D16" s="27" t="inlineStr">
        <is>
          <t>GitHub release v1.0.0: full_model_out2000_RG.model (MD5 aaa69454…)</t>
        </is>
      </c>
      <c r="E16" s="27" t="inlineStr">
        <is>
          <t>PyTorch 2.2 + PyG 2.5.3 + RDKit (Python 3.10)</t>
        </is>
      </c>
      <c r="F16" s="28" t="inlineStr">
        <is>
          <t>Sí</t>
        </is>
      </c>
      <c r="G16" s="28" t="inlineStr">
        <is>
          <t>Sí</t>
        </is>
      </c>
      <c r="H16" s="30" t="n"/>
      <c r="I16" s="30" t="n">
        <v>0.75</v>
      </c>
      <c r="J16" s="31">
        <f>IF(AND(ISNUMBER(H16),ISNUMBER(I16)),H16-I16,"")</f>
        <v/>
      </c>
      <c r="K16" s="28" t="inlineStr">
        <is>
          <t>21/10/2026: test 1a30 PASS (pKd 4.4640, valor propio). El modelo es una red PyG 1.4 pickleada: su GCNConv normaliza por el grado del nodo origen (PyG actual: destino) y el grafo del pocket es dirigido; con la capa actual 1a30 da 6.4782. Se usa una copia exacta de la capa vieja. Plugin: plugins/deepbindgcn</t>
        </is>
      </c>
      <c r="L16" s="28" t="inlineStr">
        <is>
          <t>deepbindgcn</t>
        </is>
      </c>
      <c r="M16" s="28" t="inlineStr">
        <is>
          <t>demo_deepbindgcn.bat</t>
        </is>
      </c>
      <c r="N16" s="28" t="inlineStr">
        <is>
          <t>combilab/deepbindgcn:1.0</t>
        </is>
      </c>
      <c r="O16" s="28" t="inlineStr">
        <is>
          <t>docker_deepbindgcn.bat</t>
        </is>
      </c>
      <c r="P16" s="28" t="inlineStr">
        <is>
          <t>docker_deepbindgcn.sh</t>
        </is>
      </c>
      <c r="Q16" s="30" t="inlineStr">
        <is>
          <t>Pendiente</t>
        </is>
      </c>
      <c r="R16" s="30" t="inlineStr">
        <is>
          <t>Pendiente</t>
        </is>
      </c>
    </row>
    <row r="17" ht="15" customHeight="1" s="17">
      <c r="A17" s="27" t="n">
        <v>2</v>
      </c>
      <c r="B17" s="27" t="n">
        <v>2</v>
      </c>
      <c r="C17" s="27" t="inlineStr">
        <is>
          <t>HAC-Net</t>
        </is>
      </c>
      <c r="D17" s="27" t="inlineStr">
        <is>
          <t>HACNet/parameter_files en el repo (4 .pt) + paquete PyPI HACNet 1.4.3</t>
        </is>
      </c>
      <c r="E17" s="27" t="inlineStr">
        <is>
          <t>PyTorch 2.2 + PyG 2.5.3 + Open Babel + PyMOL; cargas EqEq: servicio web ACC2 o ChargeFW2 local (Docker)</t>
        </is>
      </c>
      <c r="F17" s="28" t="inlineStr">
        <is>
          <t>Sí</t>
        </is>
      </c>
      <c r="G17" s="28" t="inlineStr">
        <is>
          <t>Sí</t>
        </is>
      </c>
      <c r="H17" s="30" t="n"/>
      <c r="I17" s="30" t="n">
        <v>0.846</v>
      </c>
      <c r="J17" s="31">
        <f>IF(AND(ISNUMBER(H17),ISNUMBER(I17)),H17-I17,"")</f>
        <v/>
      </c>
      <c r="K17" s="28" t="inlineStr">
        <is>
          <t>21/10/2026: test 1a30 PASS con ChargeFW2 3.0.0 (pKd 4.9114, valor propio). El servidor de cargas original ya no existe: se usa ACC2 (internet) o ChargeFW2 compilado en Docker. Hallazgo: el notebook/fork de Eaves carga el CNN con strict=False y nombres se_block vs SE_block, así que las capas de atención quedan aleatorias (posible causa de su PCC 0.777). Plugin: plugins/hacnet | 21/10/2026: test 1a30 PASS en Windows (demo_hacnet.bat). Arreglos: entorno con glib de conda-forge (libglib 2.88.3 del canal defaults pisaba intl-8.dll; fix_env_hacnet.bat) y cargas por la API de Atomic Charge Calculator III (acc.biodata.ceitec.cz; la URL de ACC2 da 405).</t>
        </is>
      </c>
      <c r="L17" s="28" t="inlineStr">
        <is>
          <t>hacnet</t>
        </is>
      </c>
      <c r="M17" s="28" t="inlineStr">
        <is>
          <t>demo_hacnet.bat</t>
        </is>
      </c>
      <c r="N17" s="28" t="inlineStr">
        <is>
          <t>combilab/hacnet:1.0</t>
        </is>
      </c>
      <c r="O17" s="28" t="inlineStr">
        <is>
          <t>docker_hacnet.bat</t>
        </is>
      </c>
      <c r="P17" s="28" t="inlineStr">
        <is>
          <t>docker_hacnet.sh</t>
        </is>
      </c>
      <c r="Q17" s="30" t="inlineStr">
        <is>
          <t>Pendiente</t>
        </is>
      </c>
      <c r="R17" s="30" t="inlineStr">
        <is>
          <t>PASS</t>
        </is>
      </c>
    </row>
    <row r="18" ht="15" customHeight="1" s="17">
      <c r="A18" s="27" t="n">
        <v>2</v>
      </c>
      <c r="B18" s="27" t="n">
        <v>3</v>
      </c>
      <c r="C18" s="27" t="inlineStr">
        <is>
          <t>delta_LinF9_XGB</t>
        </is>
      </c>
      <c r="D18" s="27" t="inlineStr">
        <is>
          <t>saved_model/mod_1..10.pickle.dat en el repo (xgboost 1.2.0)</t>
        </is>
      </c>
      <c r="E18" s="27" t="inlineStr">
        <is>
          <t>Solo Linux: smina (repo), MSMS, MGLTools 1.5.7 (Python 2), AlphaSpace2, xgboost 1.2.0 → en Windows vía Docker/WSL</t>
        </is>
      </c>
      <c r="F18" s="28" t="inlineStr">
        <is>
          <t>Sí</t>
        </is>
      </c>
      <c r="G18" s="28" t="inlineStr">
        <is>
          <t>Sí</t>
        </is>
      </c>
      <c r="H18" s="30" t="n"/>
      <c r="I18" s="30" t="n">
        <v>0.845</v>
      </c>
      <c r="J18" s="31">
        <f>IF(AND(ISNUMBER(H18),ISNUMBER(I18)),H18-I18,"")</f>
        <v/>
      </c>
      <c r="K18" s="28" t="inlineStr">
        <is>
          <t>21/10/2026: test PASS: 1e66_wat 8.9115 (README 8.893) y 1a30 5.1582. 88 de 92 features de 1a30 iguales a las publicadas por los autores (dataset/test_set.csv); con sus 4 restantes daría 5.1792. pdb_to_xyzr reimplementado en Python (idéntico al de MSMS). Plugin: plugins/delta_linf9_xgb | 21/10/2026: test PASS en Windows con Docker Desktop 4.96.1 + WSL 2 (demo_delta_linf9_xgb.bat): 1e66_wat 8.9115 y 1a30 5.1582, idénticos a Linux.</t>
        </is>
      </c>
      <c r="L18" s="28" t="inlineStr">
        <is>
          <t>delta_linf9_xgb</t>
        </is>
      </c>
      <c r="M18" s="28" t="inlineStr">
        <is>
          <t>no (solo Linux) → usar Docker</t>
        </is>
      </c>
      <c r="N18" s="28" t="inlineStr">
        <is>
          <t>combilab/delta_linf9_xgb:1.0</t>
        </is>
      </c>
      <c r="O18" s="28" t="inlineStr">
        <is>
          <t>docker_delta_linf9_xgb.bat</t>
        </is>
      </c>
      <c r="P18" s="28" t="inlineStr">
        <is>
          <t>docker_delta_linf9_xgb.sh</t>
        </is>
      </c>
      <c r="Q18" s="30" t="inlineStr">
        <is>
          <t>PASS</t>
        </is>
      </c>
      <c r="R18" s="30" t="inlineStr">
        <is>
          <t>—</t>
        </is>
      </c>
    </row>
    <row r="19" ht="15" customHeight="1" s="17">
      <c r="A19" s="27" t="n">
        <v>2</v>
      </c>
      <c r="B19" s="27" t="n">
        <v>4</v>
      </c>
      <c r="C19" s="27" t="inlineStr">
        <is>
          <t>GraphscoreDTA</t>
        </is>
      </c>
      <c r="D19" s="27" t="inlineStr">
        <is>
          <t>model/modelp.pth en el repo + grafos CASF-2016 preparados (release Data, 35 MB)</t>
        </is>
      </c>
      <c r="E19" s="27" t="inlineStr">
        <is>
          <t>PyTorch 2.2 + DGL 2.2.1 (Python 3.10)</t>
        </is>
      </c>
      <c r="F19" s="28" t="inlineStr">
        <is>
          <t>Sí</t>
        </is>
      </c>
      <c r="G19" s="28" t="inlineStr">
        <is>
          <t>Sí</t>
        </is>
      </c>
      <c r="H19" s="30" t="n"/>
      <c r="I19" s="30" t="n">
        <v>0.831</v>
      </c>
      <c r="J19" s="31">
        <f>IF(AND(ISNUMBER(H19),ISNUMBER(I19)),H19-I19,"")</f>
        <v/>
      </c>
      <c r="K19" s="28" t="inlineStr">
        <is>
          <t>21/10/2026: NO puede evaluar 1a30: los autores no publican el código que arma grafos y términos Vina, y 1a30 (con 2zcr, 2zy1, 3ag9, 3bv9, 3uri) no está en sus 279 complejos. El test reproduce sus 279 predicciones (dif. máx. 0.00005; PCC 0.810 en esos 279). El código original exige GPU (cuda:0). Ver tarea 6.2. Plugin: plugins/graphscoredta</t>
        </is>
      </c>
      <c r="L19" s="28" t="inlineStr">
        <is>
          <t>graphscoredta</t>
        </is>
      </c>
      <c r="M19" s="28" t="inlineStr">
        <is>
          <t>demo_graphscoredta.bat</t>
        </is>
      </c>
      <c r="N19" s="28" t="inlineStr">
        <is>
          <t>combilab/graphscoredta:1.0</t>
        </is>
      </c>
      <c r="O19" s="28" t="inlineStr">
        <is>
          <t>docker_graphscoredta.bat</t>
        </is>
      </c>
      <c r="P19" s="28" t="inlineStr">
        <is>
          <t>docker_graphscoredta.sh</t>
        </is>
      </c>
      <c r="Q19" s="30" t="inlineStr">
        <is>
          <t>Pendiente</t>
        </is>
      </c>
      <c r="R19" s="30" t="inlineStr">
        <is>
          <t>Pendiente</t>
        </is>
      </c>
    </row>
    <row r="20" ht="15" customHeight="1" s="17">
      <c r="A20" s="27" t="n">
        <v>2</v>
      </c>
      <c r="B20" s="27" t="n">
        <v>5</v>
      </c>
      <c r="C20" s="27" t="inlineStr">
        <is>
          <t>IGModel</t>
        </is>
      </c>
      <c r="D20" s="27" t="inlineStr">
        <is>
          <t>models/saved_model.pth y self-ref_model.pth en el repo</t>
        </is>
      </c>
      <c r="E20" s="27" t="inlineStr">
        <is>
          <t>PyTorch 2.2 + DGL 2.2.1 + RDKit + Open Babel 3.1.1 + spyrmsd (Python 3.10)</t>
        </is>
      </c>
      <c r="F20" s="28" t="inlineStr">
        <is>
          <t>Sí</t>
        </is>
      </c>
      <c r="G20" s="28" t="inlineStr">
        <is>
          <t>Sí</t>
        </is>
      </c>
      <c r="H20" s="30" t="n"/>
      <c r="I20" s="30" t="n">
        <v>0.831</v>
      </c>
      <c r="J20" s="31">
        <f>IF(AND(ISNUMBER(H20),ISNUMBER(I20)),H20-I20,"")</f>
        <v/>
      </c>
      <c r="K20" s="28" t="inlineStr">
        <is>
          <t>21/10/2026: test PASS: reproduce el notebook de los autores (1bcu, 10 poses, dif. 3e-6); 1a30 = 5.0653 (modo referencia; self-ref 5.4664). El .sdf de 1a30 no lo lee RDKit: usar .mol2. Eaves usa modo self-ref con saved_model.pth. Plugin: plugins/igmodel</t>
        </is>
      </c>
      <c r="L20" s="28" t="inlineStr">
        <is>
          <t>igmodel</t>
        </is>
      </c>
      <c r="M20" s="28" t="inlineStr">
        <is>
          <t>demo_igmodel.bat</t>
        </is>
      </c>
      <c r="N20" s="28" t="inlineStr">
        <is>
          <t>combilab/igmodel:1.0</t>
        </is>
      </c>
      <c r="O20" s="28" t="inlineStr">
        <is>
          <t>docker_igmodel.bat</t>
        </is>
      </c>
      <c r="P20" s="28" t="inlineStr">
        <is>
          <t>docker_igmodel.sh</t>
        </is>
      </c>
      <c r="Q20" s="30" t="inlineStr">
        <is>
          <t>Pendiente</t>
        </is>
      </c>
      <c r="R20" s="30" t="inlineStr">
        <is>
          <t>Pendiente</t>
        </is>
      </c>
    </row>
    <row r="21" ht="15" customHeight="1" s="17">
      <c r="A21" s="27" t="n">
        <v>2</v>
      </c>
      <c r="B21" s="27" t="n">
        <v>6</v>
      </c>
      <c r="C21" s="27" t="inlineStr">
        <is>
          <t>ConBAP</t>
        </is>
      </c>
      <c r="D21" s="27" t="inlineStr">
        <is>
          <t>modelo contrastivo + cabeza de afinidad repeat0 en el repo</t>
        </is>
      </c>
      <c r="E21" s="27" t="inlineStr">
        <is>
          <t>PyTorch 2.2 + PyG 2.5.3 + torch_scatter/cluster + GVP-GNN + RDKit + PyMOL (Python 3.10)</t>
        </is>
      </c>
      <c r="F21" s="28" t="inlineStr">
        <is>
          <t>Sí</t>
        </is>
      </c>
      <c r="G21" s="28" t="inlineStr">
        <is>
          <t>Sí</t>
        </is>
      </c>
      <c r="H21" s="30" t="n"/>
      <c r="I21" s="30" t="n">
        <v>0.864</v>
      </c>
      <c r="J21" s="31">
        <f>IF(AND(ISNUMBER(H21),ISNUMBER(I21)),H21-I21,"")</f>
        <v/>
      </c>
      <c r="K21" s="28" t="inlineStr">
        <is>
          <t>21/10/2026: test PASS: 1bcu del toy set rehecho desde cero = grafos de los autores (4.8575); 1a30 = 5.9318 con ligando sanitizado. Hallazgo: con el .sdf SIN sanitizar (como Eaves) se reproduce exacto su valor 7.7406 → probable causa de su PCC 0.424 (todas sus predicciones altas). Plugin: plugins/conbap</t>
        </is>
      </c>
      <c r="L21" s="28" t="inlineStr">
        <is>
          <t>conbap</t>
        </is>
      </c>
      <c r="M21" s="28" t="inlineStr">
        <is>
          <t>demo_conbap.bat</t>
        </is>
      </c>
      <c r="N21" s="28" t="inlineStr">
        <is>
          <t>combilab/conbap:1.0</t>
        </is>
      </c>
      <c r="O21" s="28" t="inlineStr">
        <is>
          <t>docker_conbap.bat</t>
        </is>
      </c>
      <c r="P21" s="28" t="inlineStr">
        <is>
          <t>docker_conbap.sh</t>
        </is>
      </c>
      <c r="Q21" s="30" t="inlineStr">
        <is>
          <t>Pendiente</t>
        </is>
      </c>
      <c r="R21" s="30" t="inlineStr">
        <is>
          <t>Pendiente</t>
        </is>
      </c>
    </row>
    <row r="22" ht="15" customHeight="1" s="17">
      <c r="A22" s="27" t="n">
        <v>2</v>
      </c>
      <c r="B22" s="27" t="n">
        <v>7</v>
      </c>
      <c r="C22" s="27" t="inlineStr">
        <is>
          <t>CPIScore</t>
        </is>
      </c>
      <c r="D22" s="27" t="inlineStr">
        <is>
          <t>result/model.pkl (incompleto)</t>
        </is>
      </c>
      <c r="E22" s="27" t="inlineStr">
        <is>
          <t>—</t>
        </is>
      </c>
      <c r="F22" s="28" t="inlineStr">
        <is>
          <t>No</t>
        </is>
      </c>
      <c r="G22" s="28" t="inlineStr">
        <is>
          <t>No</t>
        </is>
      </c>
      <c r="H22" s="30" t="n"/>
      <c r="I22" s="30" t="n">
        <v>0.74</v>
      </c>
      <c r="J22" s="31">
        <f>IF(AND(ISNUMBER(H22),ISNUMBER(I22)),H22-I22,"")</f>
        <v/>
      </c>
      <c r="K22" s="28" t="inlineStr">
        <is>
          <t>21/10/2026: DESCARTADA. Faltan los modelos word2vec (SMILES 256d y proteína 512d) que usan sus features, y la rama Transformer se crea con pesos aleatorios en cada forward (no está en model.pkl): predicciones no reproducibles. Ver plugins/cpiscore/INSTALL.md</t>
        </is>
      </c>
      <c r="L22" s="16" t="inlineStr">
        <is>
          <t>cpiscore</t>
        </is>
      </c>
      <c r="M22" s="16" t="inlineStr">
        <is>
          <t>—</t>
        </is>
      </c>
      <c r="N22" s="16" t="inlineStr">
        <is>
          <t>—</t>
        </is>
      </c>
      <c r="O22" s="16" t="inlineStr">
        <is>
          <t>—</t>
        </is>
      </c>
      <c r="P22" s="16" t="inlineStr">
        <is>
          <t>—</t>
        </is>
      </c>
      <c r="Q22" s="16" t="inlineStr">
        <is>
          <t>No aplica</t>
        </is>
      </c>
      <c r="R22" s="16" t="inlineStr">
        <is>
          <t>No aplica</t>
        </is>
      </c>
    </row>
    <row r="23" ht="15" customHeight="1" s="17">
      <c r="A23" s="27" t="n">
        <v>3</v>
      </c>
      <c r="B23" s="27" t="n">
        <v>1</v>
      </c>
      <c r="C23" s="27" t="inlineStr">
        <is>
          <t>PointNet</t>
        </is>
      </c>
      <c r="D23" s="27" t="inlineStr">
        <is>
          <t>5 PointTransformer + 5 PointNet (.pth) en el repo, conjunto grande (B)</t>
        </is>
      </c>
      <c r="E23" s="27" t="inlineStr">
        <is>
          <t>PyTorch 2.2 CPU (Python 3.10) + Open Babel; programa POINTNET (solo Linux) para la nube de puntos</t>
        </is>
      </c>
      <c r="F23" s="28" t="inlineStr">
        <is>
          <t>Sí</t>
        </is>
      </c>
      <c r="G23" s="28" t="inlineStr">
        <is>
          <t>Sí</t>
        </is>
      </c>
      <c r="H23" s="30" t="n"/>
      <c r="I23" s="30" t="n">
        <v>0.859</v>
      </c>
      <c r="J23" s="31">
        <f>IF(AND(ISNUMBER(H23),ISNUMBER(I23)),H23-I23,"")</f>
        <v/>
      </c>
      <c r="K23" s="28" t="inlineStr">
        <is>
          <t>22/10/2026: test 1a30 PASS en Linux: nube 1a30 (Open Babel --AddPolarH + POINTNET) idéntica a la referencia; PointTransformer pKd 4.6973, PointNet 4.7429 (exp. 4.30); ejemplo de los autores 5c2h: 7.4829 / 7.5160. Valores propios (los autores no publican referencia). Rotaciones aleatorias con semilla fija. Paper: PCC 0.859 (PointTransformer) / 0.831 (PointNet), sin verificar. En Windows conda solo corren los modelos (POINTNET es Linux): pipeline completo con Docker</t>
        </is>
      </c>
      <c r="L23" t="inlineStr">
        <is>
          <t>pointnet</t>
        </is>
      </c>
      <c r="M23" t="inlineStr">
        <is>
          <t>demo_pointnet.bat (solo modelos)</t>
        </is>
      </c>
      <c r="N23" t="inlineStr">
        <is>
          <t>combilab/pointnet:1.0</t>
        </is>
      </c>
      <c r="O23" t="inlineStr">
        <is>
          <t>docker_pointnet.bat</t>
        </is>
      </c>
      <c r="P23" t="inlineStr">
        <is>
          <t>docker_pointnet.sh</t>
        </is>
      </c>
      <c r="Q23" t="inlineStr">
        <is>
          <t>Pendiente</t>
        </is>
      </c>
      <c r="R23" t="inlineStr">
        <is>
          <t>Pendiente</t>
        </is>
      </c>
    </row>
    <row r="24" ht="15" customHeight="1" s="17">
      <c r="A24" s="27" t="n">
        <v>3</v>
      </c>
      <c r="B24" s="27" t="n">
        <v>2</v>
      </c>
      <c r="C24" s="27" t="inlineStr">
        <is>
          <t>PIGNet2</t>
        </is>
      </c>
      <c r="D24" s="27" t="inlineStr">
        <is>
          <t>src/ckpt/pda_0..3.pt en el repo (4 modelos, se promedian)</t>
        </is>
      </c>
      <c r="E24" s="27" t="inlineStr">
        <is>
          <t>PyTorch 2.2 CPU + PyG 2.0.3 + torch_scatter/sparse + RDKit 2022.03.4 + PyMOL (Python 3.9); no necesita GPU</t>
        </is>
      </c>
      <c r="F24" s="28" t="inlineStr">
        <is>
          <t>Sí</t>
        </is>
      </c>
      <c r="G24" s="28" t="inlineStr">
        <is>
          <t>Sí</t>
        </is>
      </c>
      <c r="H24" s="30" t="n"/>
      <c r="I24" s="30" t="n">
        <v>0.747</v>
      </c>
      <c r="J24" s="31">
        <f>IF(AND(ISNUMBER(H24),ISNUMBER(I24)),H24-I24,"")</f>
        <v/>
      </c>
      <c r="K24" s="28" t="inlineStr">
        <is>
          <t>22/10/2026: test 1a30 PASS en Linux: energías -2.865/-2.897/-3.068/-2.637 kcal/mol = las de test.py de los autores con su 1a30 preparado; pKd medio 2.1077 (exp. 4.30). Nuestra preparación de 1a30 (ligando .mol2 con H + bolsillo de generate_data.extract) es idéntica a la de los autores. Con los 285 complejos preparados por los autores (Zenodo 8091220) PCC 0.7467 (paper 0.747; Eaves 0.505). 'reduce' no hace falta (el bolsillo no lleva H). PyG 2.0.3 obligatorio. Imagen Docker sin probar (sin acceso a Docker Hub desde la máquina de prueba)</t>
        </is>
      </c>
      <c r="L24" s="16" t="inlineStr">
        <is>
          <t>pignet2</t>
        </is>
      </c>
      <c r="M24" s="16" t="inlineStr">
        <is>
          <t>demo_pignet2.bat</t>
        </is>
      </c>
      <c r="N24" s="16" t="inlineStr">
        <is>
          <t>combilab/pignet2:1.0</t>
        </is>
      </c>
      <c r="O24" s="16" t="inlineStr">
        <is>
          <t>docker_pignet2.bat</t>
        </is>
      </c>
      <c r="P24" s="16" t="inlineStr">
        <is>
          <t>docker_pignet2.sh</t>
        </is>
      </c>
      <c r="Q24" s="16" t="inlineStr">
        <is>
          <t>Pendiente</t>
        </is>
      </c>
      <c r="R24" s="16" t="inlineStr">
        <is>
          <t>Pendiente</t>
        </is>
      </c>
    </row>
    <row r="25" ht="15" customHeight="1" s="17">
      <c r="A25" s="27" t="n">
        <v>3</v>
      </c>
      <c r="B25" s="27" t="n">
        <v>3</v>
      </c>
      <c r="C25" s="27" t="inlineStr">
        <is>
          <t>Dynaformer</t>
        </is>
      </c>
      <c r="D25" s="27" t="n"/>
      <c r="E25" s="27" t="inlineStr">
        <is>
          <t>GPU</t>
        </is>
      </c>
      <c r="F25" s="28" t="n"/>
      <c r="G25" s="28" t="n"/>
      <c r="H25" s="30" t="n"/>
      <c r="I25" s="30" t="n"/>
      <c r="J25" s="31">
        <f>IF(AND(ISNUMBER(H25),ISNUMBER(I25)),H25-I25,"")</f>
        <v/>
      </c>
      <c r="K25" s="28" t="inlineStr">
        <is>
          <t>22/10/2026: checkpoints solo en OneDrive; basado en fairseq/Graphormer, solo Linux</t>
        </is>
      </c>
    </row>
    <row r="26" ht="15" customHeight="1" s="17">
      <c r="A26" s="27" t="n">
        <v>3</v>
      </c>
      <c r="B26" s="27" t="n">
        <v>4</v>
      </c>
      <c r="C26" s="27" t="inlineStr">
        <is>
          <t>TopoFormer</t>
        </is>
      </c>
      <c r="D26" s="27" t="n"/>
      <c r="E26" s="27" t="inlineStr">
        <is>
          <t>GPU / descargas grandes</t>
        </is>
      </c>
      <c r="F26" s="28" t="n"/>
      <c r="G26" s="28" t="n"/>
      <c r="H26" s="30" t="n"/>
      <c r="I26" s="30" t="n"/>
      <c r="J26" s="31">
        <f>IF(AND(ISNUMBER(H26),ISNUMBER(I26)),H26-I26,"")</f>
        <v/>
      </c>
      <c r="K26" s="28" t="inlineStr">
        <is>
          <t>22/10/2026: features PTHL + transformer; modelos fine-tuned en Zenodo 10892800 / weilab.math.msu.edu; PyTorch CUDA 11.7</t>
        </is>
      </c>
    </row>
    <row r="27" ht="15" customHeight="1" s="17">
      <c r="A27" s="27" t="n">
        <v>3</v>
      </c>
      <c r="B27" s="27" t="n">
        <v>5</v>
      </c>
      <c r="C27" s="27" t="inlineStr">
        <is>
          <t>BAPA</t>
        </is>
      </c>
      <c r="D27" s="27" t="n"/>
      <c r="E27" s="27" t="inlineStr">
        <is>
          <t>TensorFlow 1.12</t>
        </is>
      </c>
      <c r="F27" s="28" t="n"/>
      <c r="G27" s="28" t="n"/>
      <c r="H27" s="30" t="n"/>
      <c r="I27" s="30" t="n"/>
      <c r="J27" s="31">
        <f>IF(AND(ISNUMBER(H27),ISNUMBER(I27)),H27-I27,"")</f>
        <v/>
      </c>
      <c r="K27" s="28" t="inlineStr">
        <is>
          <t>22/10/2026: modelo TF 1.12 en el repo; necesita UCSF Chimera (pdb-&gt;mol2) y RF-Score (términos Vina) -&gt; Docker</t>
        </is>
      </c>
    </row>
    <row r="28" ht="15" customHeight="1" s="17">
      <c r="A28" s="27" t="n">
        <v>3</v>
      </c>
      <c r="B28" s="27" t="n">
        <v>6</v>
      </c>
      <c r="C28" s="27" t="inlineStr">
        <is>
          <t>CGraphDTA</t>
        </is>
      </c>
      <c r="D28" s="27" t="n"/>
      <c r="E28" s="27" t="inlineStr">
        <is>
          <t>Bases HHblits/BLAST</t>
        </is>
      </c>
      <c r="F28" s="28" t="n"/>
      <c r="G28" s="28" t="n"/>
      <c r="H28" s="30" t="n"/>
      <c r="I28" s="30" t="n"/>
      <c r="J28" s="31">
        <f>IF(AND(ISNUMBER(H28),ISNUMBER(I28)),H28-I28,"")</f>
        <v/>
      </c>
      <c r="K28" s="28" t="inlineStr">
        <is>
          <t>22/10/2026: modelo en el repo, pero necesita BLAST+/UniRef90, HH-suite/Uniclust30, DSSP y Mol2vec (bases de cientos de GB)</t>
        </is>
      </c>
    </row>
    <row r="29" ht="15" customHeight="1" s="17">
      <c r="A29" s="27" t="n">
        <v>3</v>
      </c>
      <c r="B29" s="27" t="n">
        <v>7</v>
      </c>
      <c r="C29" s="27" t="inlineStr">
        <is>
          <t>EGNA</t>
        </is>
      </c>
      <c r="D29" s="27" t="n"/>
      <c r="E29" s="27" t="inlineStr">
        <is>
          <t>Bases HHblits/BLAST</t>
        </is>
      </c>
      <c r="F29" s="28" t="n"/>
      <c r="G29" s="28" t="n"/>
      <c r="H29" s="30" t="n"/>
      <c r="I29" s="30" t="n"/>
      <c r="J29" s="31">
        <f>IF(AND(ISNUMBER(H29),ISNUMBER(I29)),H29-I29,"")</f>
        <v/>
      </c>
      <c r="K29" s="28" t="inlineStr">
        <is>
          <t>22/10/2026: 5 modelos en el repo; necesita HHblits + Uniclust30</t>
        </is>
      </c>
    </row>
    <row r="30" ht="15" customHeight="1" s="17">
      <c r="A30" s="27" t="n">
        <v>3</v>
      </c>
      <c r="B30" s="27" t="n">
        <v>8</v>
      </c>
      <c r="C30" s="27" t="inlineStr">
        <is>
          <t>HydraScreen</t>
        </is>
      </c>
      <c r="D30" s="27" t="inlineStr">
        <is>
          <t>API con registro</t>
        </is>
      </c>
      <c r="E30" s="27" t="n"/>
      <c r="F30" s="28" t="inlineStr">
        <is>
          <t>No</t>
        </is>
      </c>
      <c r="G30" s="28" t="inlineStr">
        <is>
          <t>No</t>
        </is>
      </c>
      <c r="H30" s="30" t="n"/>
      <c r="I30" s="30" t="n">
        <v>0.86</v>
      </c>
      <c r="J30" s="31">
        <f>IF(AND(ISNUMBER(H30),ISNUMBER(I30)),H30-I30,"")</f>
        <v/>
      </c>
      <c r="K30" s="28" t="inlineStr">
        <is>
          <t>22/10/2026: la inferencia local (paper/code_release + last_model.ckpt) NO se puede usar: el checkpoint y data_module.py dependen de paquetes privados de Ro5 (bio3d: ResMaxNet, MultiHead, TypesDataset; ro5utils) que no están publicados. Única vía: la API hydrascreen-api.ro5.ai (registro con email, sube los archivos a Ro5, uso no comercial). En espera de decisión</t>
        </is>
      </c>
    </row>
    <row r="31" ht="15" customHeight="1" s="17">
      <c r="A31" s="27" t="n">
        <v>3</v>
      </c>
      <c r="B31" s="27" t="n">
        <v>9</v>
      </c>
      <c r="C31" s="27" t="inlineStr">
        <is>
          <t>P3-Score</t>
        </is>
      </c>
      <c r="D31" s="27" t="n"/>
      <c r="E31" s="27" t="inlineStr">
        <is>
          <t>Licencia de X-Score</t>
        </is>
      </c>
      <c r="F31" s="28" t="n"/>
      <c r="G31" s="28" t="n"/>
      <c r="H31" s="30" t="n"/>
      <c r="I31" s="30" t="n"/>
      <c r="J31" s="31">
        <f>IF(AND(ISNUMBER(H31),ISNUMBER(I31)),H31-I31,"")</f>
        <v/>
      </c>
      <c r="K31" s="28" t="inlineStr">
        <is>
          <t>22/10/2026: solo P3-Score_predict.py; necesita X-Score (licencia)</t>
        </is>
      </c>
    </row>
    <row r="32"/>
    <row r="33" ht="15" customHeight="1" s="17">
      <c r="A33" s="26" t="inlineStr">
        <is>
          <t>Descartadas (sin modelo entrenado): ECIF, MSECIF, Dowker, PerSpect ML, PPS-ML, EISA-Score, GGL-Score, MP-GNN, LGN, FGNN, MFE, MM-DRPNet, DeepTGIN, HaPPy, IMCPiDB-Score, GIaNt, CurvAGN, GCNN01, SMPLIP-Score, aescore, CPIScore (modelo incompleto, ver nota).</t>
        </is>
      </c>
    </row>
  </sheetData>
  <autoFilter ref="A4:K31"/>
  <conditionalFormatting sqref="F5:G31">
    <cfRule type="cellIs" rank="0" priority="2" equalAverage="0" operator="equal" aboveAverage="0" dxfId="7" text="" percent="0" bottom="0">
      <formula>"Sí"</formula>
    </cfRule>
    <cfRule type="cellIs" rank="0" priority="3" equalAverage="0" operator="equal" aboveAverage="0" dxfId="10" text="" percent="0" bottom="0">
      <formula>"No"</formula>
    </cfRule>
    <cfRule type="cellIs" rank="0" priority="4" equalAverage="0" operator="equal" aboveAverage="0" dxfId="8" text="" percent="0" bottom="0">
      <formula>"Parcial"</formula>
    </cfRule>
  </conditionalFormatting>
  <dataValidations count="2">
    <dataValidation sqref="F5:G31" showDropDown="0" showInputMessage="0" showErrorMessage="0" allowBlank="1" type="list" errorStyle="stop" operator="between">
      <formula1>"Sí,No,Parcial"</formula1>
      <formula2>0</formula2>
    </dataValidation>
    <dataValidation sqref="Q5:R31" showDropDown="0" showInputMessage="0" showErrorMessage="0" allowBlank="1" type="list">
      <formula1>"Pendiente,PASS,FAIL,No aplica"</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2026-10-19T14:06:18Z</dcterms:created>
  <dcterms:modified xmlns:dcterms="http://purl.org/dc/terms/" xmlns:xsi="http://www.w3.org/2001/XMLSchema-instance" xsi:type="dcterms:W3CDTF">2026-10-22T15:39:19Z</dcterms:modified>
  <cp:revision>0</cp:revision>
</cp:coreProperties>
</file>